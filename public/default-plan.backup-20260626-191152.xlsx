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hidePivotFieldList="1"/>
  <mc:AlternateContent xmlns:mc="http://schemas.openxmlformats.org/markup-compatibility/2006">
    <mc:Choice Requires="x15">
      <x15ac:absPath xmlns:x15ac="http://schemas.microsoft.com/office/spreadsheetml/2010/11/ac" url="/Users/aalimahshowkat/Downloads/capacity engine/"/>
    </mc:Choice>
  </mc:AlternateContent>
  <xr:revisionPtr revIDLastSave="0" documentId="13_ncr:1_{905C617E-5C6D-9646-A362-F4EAF90BBFDE}" xr6:coauthVersionLast="47" xr6:coauthVersionMax="47" xr10:uidLastSave="{00000000-0000-0000-0000-000000000000}"/>
  <bookViews>
    <workbookView xWindow="0" yWindow="760" windowWidth="30240" windowHeight="17100" activeTab="1" xr2:uid="{7E25AF56-9510-7045-9697-BD4C5339714E}"/>
  </bookViews>
  <sheets>
    <sheet name="Demand Base Matrix" sheetId="8" r:id="rId1"/>
    <sheet name="Project List" sheetId="11" r:id="rId2"/>
    <sheet name="Customer 360" sheetId="32" r:id="rId3"/>
    <sheet name="CSM RDD" sheetId="19" r:id="rId4"/>
  </sheets>
  <definedNames>
    <definedName name="_xlnm._FilterDatabase" localSheetId="2" hidden="1">'Customer 360'!$A$1:$AI$233</definedName>
    <definedName name="_xlnm._FilterDatabase" localSheetId="0" hidden="1">'Demand Base Matrix'!$A$1:$J$87</definedName>
    <definedName name="_xlnm._FilterDatabase" localSheetId="1" hidden="1">'Project List'!$A$1:$AM$109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1" l="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2" i="11"/>
  <c r="AF28" i="11" l="1"/>
  <c r="AE28" i="11"/>
  <c r="AD28" i="11"/>
  <c r="Y28" i="11"/>
  <c r="AC28" i="11" s="1"/>
  <c r="V28" i="11"/>
  <c r="U28" i="11"/>
  <c r="W28" i="11" s="1"/>
  <c r="R28" i="11"/>
  <c r="X28" i="11" s="1"/>
  <c r="Q28" i="11"/>
  <c r="S28" i="11" s="1"/>
  <c r="T28" i="11" l="1"/>
  <c r="R100" i="11" l="1"/>
  <c r="T100" i="11" s="1"/>
  <c r="R99" i="11"/>
  <c r="T99" i="11" s="1"/>
  <c r="R107" i="11"/>
  <c r="T107" i="11" s="1"/>
  <c r="R101" i="11"/>
  <c r="T101" i="11" s="1"/>
  <c r="R94" i="11"/>
  <c r="X94" i="11" s="1"/>
  <c r="R91" i="11"/>
  <c r="X91" i="11" s="1"/>
  <c r="AD91" i="11"/>
  <c r="AE91" i="11"/>
  <c r="AF91" i="11"/>
  <c r="AD92" i="11"/>
  <c r="AE92" i="11"/>
  <c r="AF92" i="11"/>
  <c r="AD93" i="11"/>
  <c r="AE93" i="11"/>
  <c r="AF93" i="11"/>
  <c r="AD94" i="11"/>
  <c r="AE94" i="11"/>
  <c r="AF94" i="11"/>
  <c r="AD95" i="11"/>
  <c r="AE95" i="11"/>
  <c r="AF95" i="11"/>
  <c r="AD96" i="11"/>
  <c r="AE96" i="11"/>
  <c r="AF96" i="11"/>
  <c r="AD97" i="11"/>
  <c r="AE97" i="11"/>
  <c r="AF97" i="11"/>
  <c r="AD98" i="11"/>
  <c r="AE98" i="11"/>
  <c r="AF98" i="11"/>
  <c r="AD99" i="11"/>
  <c r="AE99" i="11"/>
  <c r="AF99" i="11"/>
  <c r="AD100" i="11"/>
  <c r="AE100" i="11"/>
  <c r="AF100" i="11"/>
  <c r="AD101" i="11"/>
  <c r="AE101" i="11"/>
  <c r="AF101" i="11"/>
  <c r="AD102" i="11"/>
  <c r="AE102" i="11"/>
  <c r="AF102" i="11"/>
  <c r="AD103" i="11"/>
  <c r="AE103" i="11"/>
  <c r="AF103" i="11"/>
  <c r="AD104" i="11"/>
  <c r="AE104" i="11"/>
  <c r="AF104" i="11"/>
  <c r="AD105" i="11"/>
  <c r="AE105" i="11"/>
  <c r="AF105" i="11"/>
  <c r="AD106" i="11"/>
  <c r="AE106" i="11"/>
  <c r="AF106" i="11"/>
  <c r="AD107" i="11"/>
  <c r="AE107" i="11"/>
  <c r="AF107" i="11"/>
  <c r="AD108" i="11"/>
  <c r="AE108" i="11"/>
  <c r="AF108" i="11"/>
  <c r="AD109" i="11"/>
  <c r="AE109" i="11"/>
  <c r="AF109" i="11"/>
  <c r="Y91" i="11"/>
  <c r="AC91" i="11" s="1"/>
  <c r="Y92" i="11"/>
  <c r="AC92" i="11" s="1"/>
  <c r="Y93" i="11"/>
  <c r="AC93" i="11" s="1"/>
  <c r="Y94" i="11"/>
  <c r="AC94" i="11" s="1"/>
  <c r="Y95" i="11"/>
  <c r="AC95" i="11" s="1"/>
  <c r="Y96" i="11"/>
  <c r="AC96" i="11" s="1"/>
  <c r="Y97" i="11"/>
  <c r="AC97" i="11" s="1"/>
  <c r="Y98" i="11"/>
  <c r="AC98" i="11" s="1"/>
  <c r="Y99" i="11"/>
  <c r="AC99" i="11" s="1"/>
  <c r="Y100" i="11"/>
  <c r="AC100" i="11" s="1"/>
  <c r="Y101" i="11"/>
  <c r="AC101" i="11" s="1"/>
  <c r="Y102" i="11"/>
  <c r="AC102" i="11" s="1"/>
  <c r="Y103" i="11"/>
  <c r="AC103" i="11" s="1"/>
  <c r="Y104" i="11"/>
  <c r="AC104" i="11" s="1"/>
  <c r="Y105" i="11"/>
  <c r="AC105" i="11" s="1"/>
  <c r="Y106" i="11"/>
  <c r="AC106" i="11" s="1"/>
  <c r="Y107" i="11"/>
  <c r="AC107" i="11" s="1"/>
  <c r="Y108" i="11"/>
  <c r="AC108" i="11" s="1"/>
  <c r="Y109" i="11"/>
  <c r="AC109" i="11" s="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U91" i="11"/>
  <c r="W91" i="11" s="1"/>
  <c r="U92" i="11"/>
  <c r="W92" i="11" s="1"/>
  <c r="U93" i="11"/>
  <c r="W93" i="11" s="1"/>
  <c r="U94" i="11"/>
  <c r="W94" i="11" s="1"/>
  <c r="U95" i="11"/>
  <c r="W95" i="11" s="1"/>
  <c r="U96" i="11"/>
  <c r="W96" i="11" s="1"/>
  <c r="U97" i="11"/>
  <c r="W97" i="11" s="1"/>
  <c r="U98" i="11"/>
  <c r="W98" i="11" s="1"/>
  <c r="U99" i="11"/>
  <c r="W99" i="11" s="1"/>
  <c r="U100" i="11"/>
  <c r="W100" i="11" s="1"/>
  <c r="U101" i="11"/>
  <c r="W101" i="11" s="1"/>
  <c r="U102" i="11"/>
  <c r="W102" i="11" s="1"/>
  <c r="U103" i="11"/>
  <c r="W103" i="11" s="1"/>
  <c r="U104" i="11"/>
  <c r="W104" i="11" s="1"/>
  <c r="U105" i="11"/>
  <c r="W105" i="11" s="1"/>
  <c r="U106" i="11"/>
  <c r="W106" i="11" s="1"/>
  <c r="U107" i="11"/>
  <c r="W107" i="11" s="1"/>
  <c r="U108" i="11"/>
  <c r="W108" i="11" s="1"/>
  <c r="U109" i="11"/>
  <c r="W109" i="11" s="1"/>
  <c r="R97" i="11"/>
  <c r="T97" i="11" s="1"/>
  <c r="R102" i="11"/>
  <c r="X102" i="11" s="1"/>
  <c r="R103" i="11"/>
  <c r="X103" i="11" s="1"/>
  <c r="R104" i="11"/>
  <c r="T104" i="11" s="1"/>
  <c r="R105" i="11"/>
  <c r="X105" i="11" s="1"/>
  <c r="R106" i="11"/>
  <c r="T106" i="11" s="1"/>
  <c r="R108" i="11"/>
  <c r="T108" i="11" s="1"/>
  <c r="R109" i="11"/>
  <c r="T109" i="11" s="1"/>
  <c r="Q91" i="11"/>
  <c r="S91" i="11" s="1"/>
  <c r="Q92" i="11"/>
  <c r="S92" i="11" s="1"/>
  <c r="Q93" i="11"/>
  <c r="S93" i="11" s="1"/>
  <c r="Q94" i="11"/>
  <c r="S94" i="11" s="1"/>
  <c r="Q95" i="11"/>
  <c r="S95" i="11" s="1"/>
  <c r="Q96" i="11"/>
  <c r="S96" i="11" s="1"/>
  <c r="Q97" i="11"/>
  <c r="S97" i="11" s="1"/>
  <c r="Q98" i="11"/>
  <c r="S98" i="11" s="1"/>
  <c r="Q99" i="11"/>
  <c r="S99" i="11" s="1"/>
  <c r="Q100" i="11"/>
  <c r="S100" i="11" s="1"/>
  <c r="Q101" i="11"/>
  <c r="S101" i="11" s="1"/>
  <c r="Q102" i="11"/>
  <c r="S102" i="11" s="1"/>
  <c r="Q103" i="11"/>
  <c r="S103" i="11" s="1"/>
  <c r="Q104" i="11"/>
  <c r="S104" i="11" s="1"/>
  <c r="Q105" i="11"/>
  <c r="S105" i="11" s="1"/>
  <c r="Q106" i="11"/>
  <c r="S106" i="11" s="1"/>
  <c r="Q107" i="11"/>
  <c r="S107" i="11" s="1"/>
  <c r="Q108" i="11"/>
  <c r="S108" i="11" s="1"/>
  <c r="Q109" i="11"/>
  <c r="S109" i="11" s="1"/>
  <c r="R92" i="11"/>
  <c r="X92" i="11" s="1"/>
  <c r="R93" i="11"/>
  <c r="T93" i="11" s="1"/>
  <c r="R95" i="11"/>
  <c r="T95" i="11" s="1"/>
  <c r="R96" i="11"/>
  <c r="T96" i="11" s="1"/>
  <c r="R98" i="11"/>
  <c r="T98" i="11" s="1"/>
  <c r="X104" i="11" l="1"/>
  <c r="X93" i="11"/>
  <c r="T94" i="11"/>
  <c r="X101" i="11"/>
  <c r="T92" i="11"/>
  <c r="T103" i="11"/>
  <c r="T102" i="11"/>
  <c r="T91" i="11"/>
  <c r="T105" i="11"/>
  <c r="X99" i="11"/>
  <c r="X109" i="11"/>
  <c r="X98" i="11"/>
  <c r="X100" i="11"/>
  <c r="X108" i="11"/>
  <c r="X97" i="11"/>
  <c r="X107" i="11"/>
  <c r="X96" i="11"/>
  <c r="X106" i="11"/>
  <c r="X95" i="11"/>
  <c r="R3" i="11" l="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X90" i="11" s="1"/>
  <c r="R2" i="11"/>
  <c r="AF90" i="11"/>
  <c r="AE90" i="11"/>
  <c r="AD90" i="11"/>
  <c r="Y90" i="11"/>
  <c r="AC90" i="11" s="1"/>
  <c r="V90" i="11"/>
  <c r="U90" i="11"/>
  <c r="W90" i="11" s="1"/>
  <c r="Q90" i="11"/>
  <c r="S90" i="11" s="1"/>
  <c r="T90" i="11" l="1"/>
  <c r="Q29" i="11" l="1"/>
  <c r="S29" i="11" s="1"/>
  <c r="T29" i="11"/>
  <c r="U29" i="11"/>
  <c r="W29" i="11" s="1"/>
  <c r="V29" i="11"/>
  <c r="Y29" i="11"/>
  <c r="AC29" i="11" s="1"/>
  <c r="AD29" i="11"/>
  <c r="AE29" i="11"/>
  <c r="AF29" i="11"/>
  <c r="X29" i="11" l="1"/>
  <c r="Q89" i="11"/>
  <c r="Q88" i="11"/>
  <c r="Q87" i="11"/>
  <c r="Q86" i="11"/>
  <c r="Q85" i="11"/>
  <c r="Q84" i="11"/>
  <c r="Q83" i="11"/>
  <c r="Q82" i="11"/>
  <c r="Q81" i="11"/>
  <c r="Q80" i="11"/>
  <c r="Q79" i="11"/>
  <c r="Q78" i="11"/>
  <c r="Q77" i="11"/>
  <c r="Q76" i="11"/>
  <c r="Q75" i="11"/>
  <c r="Q74" i="11"/>
  <c r="Q73" i="11"/>
  <c r="Q72" i="11"/>
  <c r="Q71" i="11"/>
  <c r="Q70" i="11"/>
  <c r="Q69" i="11"/>
  <c r="Q68" i="11"/>
  <c r="Q67" i="11"/>
  <c r="Q66" i="11"/>
  <c r="Q65" i="11"/>
  <c r="Q64" i="11"/>
  <c r="Q63" i="11"/>
  <c r="Q62" i="11"/>
  <c r="Q61" i="11"/>
  <c r="Q60" i="11"/>
  <c r="Q59" i="11"/>
  <c r="Q58" i="11"/>
  <c r="Q57" i="11"/>
  <c r="Q56" i="11"/>
  <c r="Q55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7" i="11"/>
  <c r="Q26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Q4" i="11"/>
  <c r="Q3" i="11"/>
  <c r="Q2" i="11"/>
  <c r="AD77" i="11" l="1"/>
  <c r="AE77" i="11"/>
  <c r="AF77" i="11"/>
  <c r="AD78" i="11"/>
  <c r="AE78" i="11"/>
  <c r="AF78" i="11"/>
  <c r="AD79" i="11"/>
  <c r="AE79" i="11"/>
  <c r="AF79" i="11"/>
  <c r="AD80" i="11"/>
  <c r="AE80" i="11"/>
  <c r="AF80" i="11"/>
  <c r="AD81" i="11"/>
  <c r="AE81" i="11"/>
  <c r="AF81" i="11"/>
  <c r="AD82" i="11"/>
  <c r="AE82" i="11"/>
  <c r="AF82" i="11"/>
  <c r="AD83" i="11"/>
  <c r="AE83" i="11"/>
  <c r="AF83" i="11"/>
  <c r="AD84" i="11"/>
  <c r="AE84" i="11"/>
  <c r="AF84" i="11"/>
  <c r="AD85" i="11"/>
  <c r="AE85" i="11"/>
  <c r="AF85" i="11"/>
  <c r="AD86" i="11"/>
  <c r="AE86" i="11"/>
  <c r="AF86" i="11"/>
  <c r="AD87" i="11"/>
  <c r="AE87" i="11"/>
  <c r="AF87" i="11"/>
  <c r="AD88" i="11"/>
  <c r="AE88" i="11"/>
  <c r="AF88" i="11"/>
  <c r="AD89" i="11"/>
  <c r="AE89" i="11"/>
  <c r="AF89" i="11"/>
  <c r="S77" i="11"/>
  <c r="T77" i="11"/>
  <c r="U77" i="11"/>
  <c r="W77" i="11" s="1"/>
  <c r="V77" i="11"/>
  <c r="Y77" i="11"/>
  <c r="AC77" i="11" s="1"/>
  <c r="S78" i="11"/>
  <c r="T78" i="11"/>
  <c r="U78" i="11"/>
  <c r="W78" i="11" s="1"/>
  <c r="V78" i="11"/>
  <c r="Y78" i="11"/>
  <c r="AC78" i="11" s="1"/>
  <c r="S79" i="11"/>
  <c r="X79" i="11"/>
  <c r="U79" i="11"/>
  <c r="W79" i="11" s="1"/>
  <c r="V79" i="11"/>
  <c r="Y79" i="11"/>
  <c r="AC79" i="11" s="1"/>
  <c r="S80" i="11"/>
  <c r="X80" i="11"/>
  <c r="U80" i="11"/>
  <c r="W80" i="11" s="1"/>
  <c r="V80" i="11"/>
  <c r="Y80" i="11"/>
  <c r="AC80" i="11" s="1"/>
  <c r="S81" i="11"/>
  <c r="T81" i="11"/>
  <c r="U81" i="11"/>
  <c r="W81" i="11" s="1"/>
  <c r="V81" i="11"/>
  <c r="Y81" i="11"/>
  <c r="AC81" i="11" s="1"/>
  <c r="S82" i="11"/>
  <c r="T82" i="11"/>
  <c r="U82" i="11"/>
  <c r="W82" i="11" s="1"/>
  <c r="V82" i="11"/>
  <c r="Y82" i="11"/>
  <c r="AC82" i="11" s="1"/>
  <c r="S83" i="11"/>
  <c r="T83" i="11"/>
  <c r="U83" i="11"/>
  <c r="W83" i="11" s="1"/>
  <c r="V83" i="11"/>
  <c r="Y83" i="11"/>
  <c r="AC83" i="11" s="1"/>
  <c r="S84" i="11"/>
  <c r="T84" i="11"/>
  <c r="U84" i="11"/>
  <c r="W84" i="11" s="1"/>
  <c r="V84" i="11"/>
  <c r="Y84" i="11"/>
  <c r="AC84" i="11" s="1"/>
  <c r="S85" i="11"/>
  <c r="X85" i="11"/>
  <c r="U85" i="11"/>
  <c r="W85" i="11" s="1"/>
  <c r="V85" i="11"/>
  <c r="Y85" i="11"/>
  <c r="AC85" i="11" s="1"/>
  <c r="S86" i="11"/>
  <c r="T86" i="11"/>
  <c r="U86" i="11"/>
  <c r="W86" i="11" s="1"/>
  <c r="V86" i="11"/>
  <c r="Y86" i="11"/>
  <c r="AC86" i="11" s="1"/>
  <c r="S87" i="11"/>
  <c r="X87" i="11"/>
  <c r="U87" i="11"/>
  <c r="W87" i="11" s="1"/>
  <c r="V87" i="11"/>
  <c r="Y87" i="11"/>
  <c r="AC87" i="11" s="1"/>
  <c r="S88" i="11"/>
  <c r="T88" i="11"/>
  <c r="U88" i="11"/>
  <c r="W88" i="11" s="1"/>
  <c r="V88" i="11"/>
  <c r="Y88" i="11"/>
  <c r="AC88" i="11" s="1"/>
  <c r="S89" i="11"/>
  <c r="X89" i="11"/>
  <c r="U89" i="11"/>
  <c r="W89" i="11" s="1"/>
  <c r="V89" i="11"/>
  <c r="Y89" i="11"/>
  <c r="AC89" i="11" s="1"/>
  <c r="S23" i="11"/>
  <c r="T23" i="11"/>
  <c r="U23" i="11"/>
  <c r="W23" i="11" s="1"/>
  <c r="V23" i="11"/>
  <c r="Y23" i="11"/>
  <c r="S24" i="11"/>
  <c r="T24" i="11"/>
  <c r="U24" i="11"/>
  <c r="W24" i="11" s="1"/>
  <c r="V24" i="11"/>
  <c r="Y24" i="11"/>
  <c r="S25" i="11"/>
  <c r="X25" i="11"/>
  <c r="U25" i="11"/>
  <c r="W25" i="11" s="1"/>
  <c r="V25" i="11"/>
  <c r="Y25" i="11"/>
  <c r="S26" i="11"/>
  <c r="T26" i="11"/>
  <c r="U26" i="11"/>
  <c r="W26" i="11" s="1"/>
  <c r="V26" i="11"/>
  <c r="Y26" i="11"/>
  <c r="S27" i="11"/>
  <c r="T27" i="11"/>
  <c r="U27" i="11"/>
  <c r="W27" i="11" s="1"/>
  <c r="V27" i="11"/>
  <c r="Y27" i="11"/>
  <c r="S30" i="11"/>
  <c r="T30" i="11"/>
  <c r="U30" i="11"/>
  <c r="W30" i="11" s="1"/>
  <c r="V30" i="11"/>
  <c r="Y30" i="11"/>
  <c r="S31" i="11"/>
  <c r="X31" i="11"/>
  <c r="U31" i="11"/>
  <c r="W31" i="11" s="1"/>
  <c r="V31" i="11"/>
  <c r="Y31" i="11"/>
  <c r="S32" i="11"/>
  <c r="U32" i="11"/>
  <c r="W32" i="11" s="1"/>
  <c r="V32" i="11"/>
  <c r="Y32" i="11"/>
  <c r="S33" i="11"/>
  <c r="X33" i="11"/>
  <c r="U33" i="11"/>
  <c r="W33" i="11" s="1"/>
  <c r="V33" i="11"/>
  <c r="Y33" i="11"/>
  <c r="S34" i="11"/>
  <c r="T34" i="11"/>
  <c r="U34" i="11"/>
  <c r="W34" i="11" s="1"/>
  <c r="V34" i="11"/>
  <c r="Y34" i="11"/>
  <c r="S35" i="11"/>
  <c r="X35" i="11"/>
  <c r="U35" i="11"/>
  <c r="W35" i="11" s="1"/>
  <c r="V35" i="11"/>
  <c r="Y35" i="11"/>
  <c r="S36" i="11"/>
  <c r="X36" i="11"/>
  <c r="U36" i="11"/>
  <c r="W36" i="11" s="1"/>
  <c r="V36" i="11"/>
  <c r="Y36" i="11"/>
  <c r="S37" i="11"/>
  <c r="X37" i="11"/>
  <c r="U37" i="11"/>
  <c r="W37" i="11" s="1"/>
  <c r="V37" i="11"/>
  <c r="Y37" i="11"/>
  <c r="S38" i="11"/>
  <c r="T38" i="11"/>
  <c r="U38" i="11"/>
  <c r="W38" i="11" s="1"/>
  <c r="V38" i="11"/>
  <c r="Y38" i="11"/>
  <c r="S39" i="11"/>
  <c r="T39" i="11"/>
  <c r="U39" i="11"/>
  <c r="W39" i="11" s="1"/>
  <c r="V39" i="11"/>
  <c r="Y39" i="11"/>
  <c r="S40" i="11"/>
  <c r="X40" i="11"/>
  <c r="U40" i="11"/>
  <c r="W40" i="11" s="1"/>
  <c r="V40" i="11"/>
  <c r="Y40" i="11"/>
  <c r="S41" i="11"/>
  <c r="T41" i="11"/>
  <c r="U41" i="11"/>
  <c r="W41" i="11" s="1"/>
  <c r="V41" i="11"/>
  <c r="Y41" i="11"/>
  <c r="S42" i="11"/>
  <c r="T42" i="11"/>
  <c r="U42" i="11"/>
  <c r="W42" i="11" s="1"/>
  <c r="V42" i="11"/>
  <c r="Y42" i="11"/>
  <c r="S43" i="11"/>
  <c r="T43" i="11"/>
  <c r="U43" i="11"/>
  <c r="W43" i="11" s="1"/>
  <c r="V43" i="11"/>
  <c r="Y43" i="11"/>
  <c r="S44" i="11"/>
  <c r="T44" i="11"/>
  <c r="U44" i="11"/>
  <c r="W44" i="11" s="1"/>
  <c r="V44" i="11"/>
  <c r="Y44" i="11"/>
  <c r="S45" i="11"/>
  <c r="X45" i="11"/>
  <c r="U45" i="11"/>
  <c r="W45" i="11" s="1"/>
  <c r="V45" i="11"/>
  <c r="Y45" i="11"/>
  <c r="S46" i="11"/>
  <c r="X46" i="11"/>
  <c r="U46" i="11"/>
  <c r="W46" i="11" s="1"/>
  <c r="V46" i="11"/>
  <c r="Y46" i="11"/>
  <c r="S47" i="11"/>
  <c r="X47" i="11"/>
  <c r="U47" i="11"/>
  <c r="W47" i="11" s="1"/>
  <c r="V47" i="11"/>
  <c r="Y47" i="11"/>
  <c r="S48" i="11"/>
  <c r="T48" i="11"/>
  <c r="U48" i="11"/>
  <c r="W48" i="11" s="1"/>
  <c r="V48" i="11"/>
  <c r="Y48" i="11"/>
  <c r="S49" i="11"/>
  <c r="T49" i="11"/>
  <c r="U49" i="11"/>
  <c r="W49" i="11" s="1"/>
  <c r="V49" i="11"/>
  <c r="Y49" i="11"/>
  <c r="S50" i="11"/>
  <c r="U50" i="11"/>
  <c r="W50" i="11" s="1"/>
  <c r="V50" i="11"/>
  <c r="Y50" i="11"/>
  <c r="S51" i="11"/>
  <c r="X51" i="11"/>
  <c r="U51" i="11"/>
  <c r="W51" i="11" s="1"/>
  <c r="V51" i="11"/>
  <c r="Y51" i="11"/>
  <c r="S52" i="11"/>
  <c r="T52" i="11"/>
  <c r="U52" i="11"/>
  <c r="W52" i="11" s="1"/>
  <c r="V52" i="11"/>
  <c r="Y52" i="11"/>
  <c r="S53" i="11"/>
  <c r="X53" i="11"/>
  <c r="U53" i="11"/>
  <c r="W53" i="11" s="1"/>
  <c r="V53" i="11"/>
  <c r="Y53" i="11"/>
  <c r="S54" i="11"/>
  <c r="U54" i="11"/>
  <c r="W54" i="11" s="1"/>
  <c r="V54" i="11"/>
  <c r="Y54" i="11"/>
  <c r="S55" i="11"/>
  <c r="T55" i="11"/>
  <c r="U55" i="11"/>
  <c r="W55" i="11" s="1"/>
  <c r="V55" i="11"/>
  <c r="Y55" i="11"/>
  <c r="S56" i="11"/>
  <c r="X56" i="11"/>
  <c r="U56" i="11"/>
  <c r="W56" i="11" s="1"/>
  <c r="V56" i="11"/>
  <c r="Y56" i="11"/>
  <c r="S57" i="11"/>
  <c r="X57" i="11"/>
  <c r="U57" i="11"/>
  <c r="W57" i="11" s="1"/>
  <c r="V57" i="11"/>
  <c r="Y57" i="11"/>
  <c r="S58" i="11"/>
  <c r="X58" i="11"/>
  <c r="U58" i="11"/>
  <c r="W58" i="11" s="1"/>
  <c r="V58" i="11"/>
  <c r="Y58" i="11"/>
  <c r="S59" i="11"/>
  <c r="X59" i="11"/>
  <c r="U59" i="11"/>
  <c r="W59" i="11" s="1"/>
  <c r="V59" i="11"/>
  <c r="Y59" i="11"/>
  <c r="S60" i="11"/>
  <c r="T60" i="11"/>
  <c r="U60" i="11"/>
  <c r="W60" i="11" s="1"/>
  <c r="V60" i="11"/>
  <c r="Y60" i="11"/>
  <c r="S61" i="11"/>
  <c r="X61" i="11"/>
  <c r="U61" i="11"/>
  <c r="W61" i="11" s="1"/>
  <c r="V61" i="11"/>
  <c r="Y61" i="11"/>
  <c r="S62" i="11"/>
  <c r="X62" i="11"/>
  <c r="U62" i="11"/>
  <c r="W62" i="11" s="1"/>
  <c r="V62" i="11"/>
  <c r="Y62" i="11"/>
  <c r="S63" i="11"/>
  <c r="T63" i="11"/>
  <c r="U63" i="11"/>
  <c r="W63" i="11" s="1"/>
  <c r="V63" i="11"/>
  <c r="Y63" i="11"/>
  <c r="S64" i="11"/>
  <c r="X64" i="11"/>
  <c r="U64" i="11"/>
  <c r="W64" i="11" s="1"/>
  <c r="V64" i="11"/>
  <c r="Y64" i="11"/>
  <c r="S65" i="11"/>
  <c r="T65" i="11"/>
  <c r="U65" i="11"/>
  <c r="W65" i="11" s="1"/>
  <c r="V65" i="11"/>
  <c r="Y65" i="11"/>
  <c r="S66" i="11"/>
  <c r="T66" i="11"/>
  <c r="U66" i="11"/>
  <c r="W66" i="11" s="1"/>
  <c r="V66" i="11"/>
  <c r="Y66" i="11"/>
  <c r="S67" i="11"/>
  <c r="X67" i="11"/>
  <c r="U67" i="11"/>
  <c r="W67" i="11" s="1"/>
  <c r="V67" i="11"/>
  <c r="Y67" i="11"/>
  <c r="S68" i="11"/>
  <c r="U68" i="11"/>
  <c r="W68" i="11" s="1"/>
  <c r="V68" i="11"/>
  <c r="Y68" i="11"/>
  <c r="S69" i="11"/>
  <c r="T69" i="11"/>
  <c r="U69" i="11"/>
  <c r="W69" i="11" s="1"/>
  <c r="V69" i="11"/>
  <c r="Y69" i="11"/>
  <c r="S70" i="11"/>
  <c r="T70" i="11"/>
  <c r="U70" i="11"/>
  <c r="W70" i="11" s="1"/>
  <c r="V70" i="11"/>
  <c r="Y70" i="11"/>
  <c r="S71" i="11"/>
  <c r="X71" i="11"/>
  <c r="U71" i="11"/>
  <c r="W71" i="11" s="1"/>
  <c r="V71" i="11"/>
  <c r="Y71" i="11"/>
  <c r="S72" i="11"/>
  <c r="T72" i="11"/>
  <c r="U72" i="11"/>
  <c r="W72" i="11" s="1"/>
  <c r="V72" i="11"/>
  <c r="Y72" i="11"/>
  <c r="S73" i="11"/>
  <c r="X73" i="11"/>
  <c r="U73" i="11"/>
  <c r="W73" i="11" s="1"/>
  <c r="V73" i="11"/>
  <c r="Y73" i="11"/>
  <c r="S74" i="11"/>
  <c r="T74" i="11"/>
  <c r="U74" i="11"/>
  <c r="W74" i="11" s="1"/>
  <c r="V74" i="11"/>
  <c r="Y74" i="11"/>
  <c r="S75" i="11"/>
  <c r="U75" i="11"/>
  <c r="W75" i="11" s="1"/>
  <c r="V75" i="11"/>
  <c r="Y75" i="11"/>
  <c r="S76" i="11"/>
  <c r="X76" i="11"/>
  <c r="U76" i="11"/>
  <c r="W76" i="11" s="1"/>
  <c r="V76" i="11"/>
  <c r="Y76" i="11"/>
  <c r="X44" i="11" l="1"/>
  <c r="T61" i="11"/>
  <c r="X52" i="11"/>
  <c r="X48" i="11"/>
  <c r="X83" i="11"/>
  <c r="X81" i="11"/>
  <c r="X23" i="11"/>
  <c r="X88" i="11"/>
  <c r="X63" i="11"/>
  <c r="T73" i="11"/>
  <c r="X34" i="11"/>
  <c r="X74" i="11"/>
  <c r="T64" i="11"/>
  <c r="X41" i="11"/>
  <c r="X39" i="11"/>
  <c r="X65" i="11"/>
  <c r="X72" i="11"/>
  <c r="X70" i="11"/>
  <c r="X24" i="11"/>
  <c r="X66" i="11"/>
  <c r="T53" i="11"/>
  <c r="T33" i="11"/>
  <c r="T67" i="11"/>
  <c r="T47" i="11"/>
  <c r="X43" i="11"/>
  <c r="X86" i="11"/>
  <c r="T75" i="11"/>
  <c r="X75" i="11"/>
  <c r="T59" i="11"/>
  <c r="X55" i="11"/>
  <c r="X32" i="11"/>
  <c r="T32" i="11"/>
  <c r="X68" i="11"/>
  <c r="T68" i="11"/>
  <c r="T50" i="11"/>
  <c r="X50" i="11"/>
  <c r="T58" i="11"/>
  <c r="T54" i="11"/>
  <c r="X54" i="11"/>
  <c r="X27" i="11"/>
  <c r="T87" i="11"/>
  <c r="T37" i="11"/>
  <c r="T85" i="11"/>
  <c r="T80" i="11"/>
  <c r="X42" i="11"/>
  <c r="X30" i="11"/>
  <c r="T31" i="11"/>
  <c r="T36" i="11"/>
  <c r="X82" i="11"/>
  <c r="X77" i="11"/>
  <c r="T89" i="11"/>
  <c r="T79" i="11"/>
  <c r="X78" i="11"/>
  <c r="X84" i="11"/>
  <c r="T76" i="11"/>
  <c r="T56" i="11"/>
  <c r="T45" i="11"/>
  <c r="X26" i="11"/>
  <c r="T25" i="11"/>
  <c r="T71" i="11"/>
  <c r="T62" i="11"/>
  <c r="T51" i="11"/>
  <c r="T40" i="11"/>
  <c r="T57" i="11"/>
  <c r="T46" i="11"/>
  <c r="T35" i="11"/>
  <c r="X69" i="11"/>
  <c r="X60" i="11"/>
  <c r="X49" i="11"/>
  <c r="X38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" i="11"/>
  <c r="AF3" i="11" l="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30" i="11"/>
  <c r="AF31" i="11"/>
  <c r="AF32" i="11"/>
  <c r="AF33" i="11"/>
  <c r="AF34" i="11"/>
  <c r="AF35" i="11"/>
  <c r="AF36" i="11"/>
  <c r="AF37" i="11"/>
  <c r="AF38" i="11"/>
  <c r="AF39" i="11"/>
  <c r="AF40" i="11"/>
  <c r="AF41" i="11"/>
  <c r="AF42" i="11"/>
  <c r="AF43" i="11"/>
  <c r="AF44" i="11"/>
  <c r="AF45" i="11"/>
  <c r="AF46" i="11"/>
  <c r="AF47" i="11"/>
  <c r="AF48" i="11"/>
  <c r="AF49" i="11"/>
  <c r="AF50" i="11"/>
  <c r="AF51" i="11"/>
  <c r="AF52" i="11"/>
  <c r="AF53" i="11"/>
  <c r="AF54" i="11"/>
  <c r="AF55" i="11"/>
  <c r="AF56" i="11"/>
  <c r="AF57" i="11"/>
  <c r="AF58" i="11"/>
  <c r="AF59" i="11"/>
  <c r="AF60" i="11"/>
  <c r="AF61" i="11"/>
  <c r="AF62" i="11"/>
  <c r="AF63" i="11"/>
  <c r="AF64" i="11"/>
  <c r="AF65" i="11"/>
  <c r="AF66" i="11"/>
  <c r="AF67" i="11"/>
  <c r="AF68" i="11"/>
  <c r="AF69" i="11"/>
  <c r="AF70" i="11"/>
  <c r="AF71" i="11"/>
  <c r="AF72" i="11"/>
  <c r="AF73" i="11"/>
  <c r="AF74" i="11"/>
  <c r="AF75" i="11"/>
  <c r="AF76" i="11"/>
  <c r="AF2" i="11"/>
  <c r="AD3" i="11"/>
  <c r="AE3" i="11"/>
  <c r="AD4" i="11"/>
  <c r="AE4" i="11"/>
  <c r="AD5" i="11"/>
  <c r="AE5" i="11"/>
  <c r="AD6" i="11"/>
  <c r="AE6" i="11"/>
  <c r="AD7" i="11"/>
  <c r="AE7" i="11"/>
  <c r="AD8" i="11"/>
  <c r="AE8" i="11"/>
  <c r="AD9" i="11"/>
  <c r="AE9" i="11"/>
  <c r="AD10" i="11"/>
  <c r="AE10" i="11"/>
  <c r="AD11" i="11"/>
  <c r="AE11" i="11"/>
  <c r="AD12" i="11"/>
  <c r="AE12" i="11"/>
  <c r="AD13" i="11"/>
  <c r="AE13" i="11"/>
  <c r="AD14" i="11"/>
  <c r="AE14" i="11"/>
  <c r="AD15" i="11"/>
  <c r="AE15" i="11"/>
  <c r="AD16" i="11"/>
  <c r="AE16" i="11"/>
  <c r="AD17" i="11"/>
  <c r="AE17" i="11"/>
  <c r="AD18" i="11"/>
  <c r="AE18" i="11"/>
  <c r="AD19" i="11"/>
  <c r="AE19" i="11"/>
  <c r="AD20" i="11"/>
  <c r="AE20" i="11"/>
  <c r="AD21" i="11"/>
  <c r="AE21" i="11"/>
  <c r="AD22" i="11"/>
  <c r="AE22" i="11"/>
  <c r="AD23" i="11"/>
  <c r="AE23" i="11"/>
  <c r="AD24" i="11"/>
  <c r="AE24" i="11"/>
  <c r="AD25" i="11"/>
  <c r="AE25" i="11"/>
  <c r="AD26" i="11"/>
  <c r="AE26" i="11"/>
  <c r="AD27" i="11"/>
  <c r="AE27" i="11"/>
  <c r="AD30" i="11"/>
  <c r="AE30" i="11"/>
  <c r="AD31" i="11"/>
  <c r="AE31" i="11"/>
  <c r="AD32" i="11"/>
  <c r="AE32" i="11"/>
  <c r="AD33" i="11"/>
  <c r="AE33" i="11"/>
  <c r="AD34" i="11"/>
  <c r="AE34" i="11"/>
  <c r="AD35" i="11"/>
  <c r="AE35" i="11"/>
  <c r="AD36" i="11"/>
  <c r="AE36" i="11"/>
  <c r="AD37" i="11"/>
  <c r="AE37" i="11"/>
  <c r="AD38" i="11"/>
  <c r="AE38" i="11"/>
  <c r="AD39" i="11"/>
  <c r="AE39" i="11"/>
  <c r="AD40" i="11"/>
  <c r="AE40" i="11"/>
  <c r="AD41" i="11"/>
  <c r="AE41" i="11"/>
  <c r="AD42" i="11"/>
  <c r="AE42" i="11"/>
  <c r="AD43" i="11"/>
  <c r="AE43" i="11"/>
  <c r="AD44" i="11"/>
  <c r="AE44" i="11"/>
  <c r="AD45" i="11"/>
  <c r="AE45" i="11"/>
  <c r="AD46" i="11"/>
  <c r="AE46" i="11"/>
  <c r="AD47" i="11"/>
  <c r="AE47" i="11"/>
  <c r="AD48" i="11"/>
  <c r="AE48" i="11"/>
  <c r="AD49" i="11"/>
  <c r="AE49" i="11"/>
  <c r="AD50" i="11"/>
  <c r="AE50" i="11"/>
  <c r="AD51" i="11"/>
  <c r="AE51" i="11"/>
  <c r="AD52" i="11"/>
  <c r="AE52" i="11"/>
  <c r="AD53" i="11"/>
  <c r="AE53" i="11"/>
  <c r="AD54" i="11"/>
  <c r="AE54" i="11"/>
  <c r="AD55" i="11"/>
  <c r="AE55" i="11"/>
  <c r="AD56" i="11"/>
  <c r="AE56" i="11"/>
  <c r="AD57" i="11"/>
  <c r="AE57" i="11"/>
  <c r="AD58" i="11"/>
  <c r="AE58" i="11"/>
  <c r="AD59" i="11"/>
  <c r="AE59" i="11"/>
  <c r="AD60" i="11"/>
  <c r="AE60" i="11"/>
  <c r="AD61" i="11"/>
  <c r="AE61" i="11"/>
  <c r="AD62" i="11"/>
  <c r="AE62" i="11"/>
  <c r="AD63" i="11"/>
  <c r="AE63" i="11"/>
  <c r="AD64" i="11"/>
  <c r="AE64" i="11"/>
  <c r="AD65" i="11"/>
  <c r="AE65" i="11"/>
  <c r="AD66" i="11"/>
  <c r="AE66" i="11"/>
  <c r="AD67" i="11"/>
  <c r="AE67" i="11"/>
  <c r="AD68" i="11"/>
  <c r="AE68" i="11"/>
  <c r="AD69" i="11"/>
  <c r="AE69" i="11"/>
  <c r="AD70" i="11"/>
  <c r="AE70" i="11"/>
  <c r="AD71" i="11"/>
  <c r="AE71" i="11"/>
  <c r="AD72" i="11"/>
  <c r="AE72" i="11"/>
  <c r="AD73" i="11"/>
  <c r="AE73" i="11"/>
  <c r="AD74" i="11"/>
  <c r="AE74" i="11"/>
  <c r="AD75" i="11"/>
  <c r="AE75" i="11"/>
  <c r="AD76" i="11"/>
  <c r="AE76" i="11"/>
  <c r="AD2" i="11"/>
  <c r="AE2" i="11"/>
  <c r="Y3" i="11"/>
  <c r="AC3" i="11" s="1"/>
  <c r="Y4" i="11"/>
  <c r="AC4" i="11" s="1"/>
  <c r="Y5" i="11"/>
  <c r="AC5" i="11" s="1"/>
  <c r="Y6" i="11"/>
  <c r="AC6" i="11" s="1"/>
  <c r="Y7" i="11"/>
  <c r="AC7" i="11" s="1"/>
  <c r="Y8" i="11"/>
  <c r="AC8" i="11" s="1"/>
  <c r="Y9" i="11"/>
  <c r="AC9" i="11" s="1"/>
  <c r="Y10" i="11"/>
  <c r="AC10" i="11" s="1"/>
  <c r="Y11" i="11"/>
  <c r="AC11" i="11" s="1"/>
  <c r="Y12" i="11"/>
  <c r="AC12" i="11" s="1"/>
  <c r="Y13" i="11"/>
  <c r="AC13" i="11" s="1"/>
  <c r="Y14" i="11"/>
  <c r="AC14" i="11" s="1"/>
  <c r="Y15" i="11"/>
  <c r="AC15" i="11" s="1"/>
  <c r="Y16" i="11"/>
  <c r="AC16" i="11" s="1"/>
  <c r="Y17" i="11"/>
  <c r="AC17" i="11" s="1"/>
  <c r="Y18" i="11"/>
  <c r="AC18" i="11" s="1"/>
  <c r="Y19" i="11"/>
  <c r="AC19" i="11" s="1"/>
  <c r="Y20" i="11"/>
  <c r="AC20" i="11" s="1"/>
  <c r="Y21" i="11"/>
  <c r="AC21" i="11" s="1"/>
  <c r="Y22" i="11"/>
  <c r="AC22" i="11" s="1"/>
  <c r="AC23" i="11"/>
  <c r="AC24" i="11"/>
  <c r="AC25" i="11"/>
  <c r="AC26" i="11"/>
  <c r="AC27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53" i="11"/>
  <c r="AC54" i="11"/>
  <c r="AC55" i="11"/>
  <c r="AC56" i="11"/>
  <c r="AC57" i="11"/>
  <c r="AC58" i="11"/>
  <c r="AC59" i="11"/>
  <c r="AC60" i="11"/>
  <c r="AC61" i="11"/>
  <c r="AC62" i="11"/>
  <c r="AC63" i="11"/>
  <c r="AC64" i="11"/>
  <c r="AC65" i="11"/>
  <c r="AC66" i="11"/>
  <c r="AC67" i="11"/>
  <c r="AC68" i="11"/>
  <c r="AC69" i="11"/>
  <c r="AC70" i="11"/>
  <c r="AC71" i="11"/>
  <c r="AC72" i="11"/>
  <c r="AC73" i="11"/>
  <c r="AC74" i="11"/>
  <c r="AC75" i="11"/>
  <c r="AC76" i="11"/>
  <c r="Y2" i="11"/>
  <c r="AC2" i="11" s="1"/>
  <c r="K15" i="8" a="1"/>
  <c r="K15" i="8" s="1"/>
  <c r="L15" i="8" s="1"/>
  <c r="U2" i="11" l="1"/>
  <c r="U22" i="11"/>
  <c r="W22" i="11" s="1"/>
  <c r="U21" i="11"/>
  <c r="W21" i="11" s="1"/>
  <c r="U20" i="11"/>
  <c r="W20" i="11" s="1"/>
  <c r="U19" i="11"/>
  <c r="W19" i="11" s="1"/>
  <c r="U18" i="11"/>
  <c r="W18" i="11" s="1"/>
  <c r="U17" i="11"/>
  <c r="W17" i="11" s="1"/>
  <c r="U16" i="11"/>
  <c r="W16" i="11" s="1"/>
  <c r="U15" i="11"/>
  <c r="W15" i="11" s="1"/>
  <c r="U14" i="11"/>
  <c r="W14" i="11" s="1"/>
  <c r="U13" i="11"/>
  <c r="W13" i="11" s="1"/>
  <c r="U12" i="11"/>
  <c r="W12" i="11" s="1"/>
  <c r="U11" i="11"/>
  <c r="W11" i="11" s="1"/>
  <c r="U10" i="11"/>
  <c r="W10" i="11" s="1"/>
  <c r="U9" i="11"/>
  <c r="W9" i="11" s="1"/>
  <c r="U8" i="11"/>
  <c r="W8" i="11" s="1"/>
  <c r="U7" i="11"/>
  <c r="W7" i="11" s="1"/>
  <c r="U6" i="11"/>
  <c r="W6" i="11" s="1"/>
  <c r="U5" i="11"/>
  <c r="W5" i="11" s="1"/>
  <c r="U4" i="11"/>
  <c r="W4" i="11" s="1"/>
  <c r="U3" i="11"/>
  <c r="W3" i="11" s="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X2" i="11" l="1"/>
  <c r="X17" i="11"/>
  <c r="T16" i="11"/>
  <c r="X16" i="11"/>
  <c r="T15" i="11"/>
  <c r="X15" i="11"/>
  <c r="T4" i="11"/>
  <c r="X4" i="11"/>
  <c r="T18" i="11"/>
  <c r="X18" i="11"/>
  <c r="T13" i="11"/>
  <c r="X13" i="11"/>
  <c r="T5" i="11"/>
  <c r="X5" i="11"/>
  <c r="T22" i="11"/>
  <c r="X22" i="11"/>
  <c r="T11" i="11"/>
  <c r="X11" i="11"/>
  <c r="T14" i="11"/>
  <c r="X14" i="11"/>
  <c r="T12" i="11"/>
  <c r="X12" i="11"/>
  <c r="T10" i="11"/>
  <c r="X10" i="11"/>
  <c r="T20" i="11"/>
  <c r="X20" i="11"/>
  <c r="T9" i="11"/>
  <c r="X9" i="11"/>
  <c r="T7" i="11"/>
  <c r="X7" i="11"/>
  <c r="T3" i="11"/>
  <c r="X3" i="11"/>
  <c r="T21" i="11"/>
  <c r="X21" i="11"/>
  <c r="T19" i="11"/>
  <c r="X19" i="11"/>
  <c r="T8" i="11"/>
  <c r="X8" i="11"/>
  <c r="T17" i="11"/>
  <c r="T6" i="11"/>
  <c r="X6" i="11"/>
  <c r="V17" i="8" l="1"/>
  <c r="U17" i="8"/>
  <c r="T17" i="8"/>
  <c r="S17" i="8"/>
  <c r="R17" i="8"/>
  <c r="Q17" i="8"/>
  <c r="P17" i="8"/>
  <c r="V16" i="8"/>
  <c r="U16" i="8"/>
  <c r="T16" i="8"/>
  <c r="S16" i="8"/>
  <c r="R16" i="8"/>
  <c r="Q16" i="8"/>
  <c r="P16" i="8"/>
  <c r="V15" i="8"/>
  <c r="U15" i="8"/>
  <c r="T15" i="8"/>
  <c r="S15" i="8"/>
  <c r="R15" i="8"/>
  <c r="Q15" i="8"/>
  <c r="P15" i="8"/>
  <c r="V14" i="8"/>
  <c r="U14" i="8"/>
  <c r="T14" i="8"/>
  <c r="S14" i="8"/>
  <c r="R14" i="8"/>
  <c r="Q14" i="8"/>
  <c r="P14" i="8"/>
  <c r="V13" i="8"/>
  <c r="U13" i="8"/>
  <c r="T13" i="8"/>
  <c r="S13" i="8"/>
  <c r="R13" i="8"/>
  <c r="Q13" i="8"/>
  <c r="P13" i="8"/>
  <c r="V12" i="8"/>
  <c r="U12" i="8"/>
  <c r="T12" i="8"/>
  <c r="S12" i="8"/>
  <c r="R12" i="8"/>
  <c r="Q12" i="8"/>
  <c r="P12" i="8"/>
  <c r="V11" i="8"/>
  <c r="U11" i="8"/>
  <c r="T11" i="8"/>
  <c r="S11" i="8"/>
  <c r="R11" i="8"/>
  <c r="Q11" i="8"/>
  <c r="P11" i="8"/>
  <c r="V10" i="8"/>
  <c r="U10" i="8"/>
  <c r="T10" i="8"/>
  <c r="S10" i="8"/>
  <c r="R10" i="8"/>
  <c r="Q10" i="8"/>
  <c r="P10" i="8"/>
  <c r="V7" i="8" l="1"/>
  <c r="V21" i="8"/>
  <c r="U21" i="8"/>
  <c r="T21" i="8"/>
  <c r="S21" i="8"/>
  <c r="R21" i="8"/>
  <c r="Q21" i="8"/>
  <c r="P21" i="8"/>
  <c r="V20" i="8"/>
  <c r="U20" i="8"/>
  <c r="T20" i="8"/>
  <c r="S20" i="8"/>
  <c r="R20" i="8"/>
  <c r="Q20" i="8"/>
  <c r="P20" i="8"/>
  <c r="V19" i="8"/>
  <c r="U19" i="8"/>
  <c r="T19" i="8"/>
  <c r="S19" i="8"/>
  <c r="R19" i="8"/>
  <c r="Q19" i="8"/>
  <c r="P19" i="8"/>
  <c r="V18" i="8"/>
  <c r="U18" i="8"/>
  <c r="T18" i="8"/>
  <c r="S18" i="8"/>
  <c r="R18" i="8"/>
  <c r="Q18" i="8"/>
  <c r="P18" i="8"/>
  <c r="V9" i="8"/>
  <c r="U9" i="8"/>
  <c r="T9" i="8"/>
  <c r="S9" i="8"/>
  <c r="R9" i="8"/>
  <c r="Q9" i="8"/>
  <c r="P9" i="8"/>
  <c r="V8" i="8"/>
  <c r="U8" i="8"/>
  <c r="T8" i="8"/>
  <c r="S8" i="8"/>
  <c r="R8" i="8"/>
  <c r="Q8" i="8"/>
  <c r="P8" i="8"/>
  <c r="U7" i="8"/>
  <c r="T7" i="8"/>
  <c r="S7" i="8"/>
  <c r="R7" i="8"/>
  <c r="Q7" i="8"/>
  <c r="P7" i="8"/>
  <c r="V6" i="8"/>
  <c r="U6" i="8"/>
  <c r="T6" i="8"/>
  <c r="S6" i="8"/>
  <c r="R6" i="8"/>
  <c r="Q6" i="8"/>
  <c r="P6" i="8"/>
  <c r="V5" i="8"/>
  <c r="U5" i="8"/>
  <c r="T5" i="8"/>
  <c r="S5" i="8"/>
  <c r="R5" i="8"/>
  <c r="Q5" i="8"/>
  <c r="P5" i="8"/>
  <c r="V4" i="8"/>
  <c r="U4" i="8"/>
  <c r="T4" i="8"/>
  <c r="S4" i="8"/>
  <c r="R4" i="8"/>
  <c r="Q4" i="8"/>
  <c r="P4" i="8"/>
  <c r="V3" i="8"/>
  <c r="U3" i="8"/>
  <c r="T3" i="8"/>
  <c r="S3" i="8"/>
  <c r="R3" i="8"/>
  <c r="Q3" i="8"/>
  <c r="P3" i="8"/>
  <c r="V2" i="8"/>
  <c r="U2" i="8"/>
  <c r="T2" i="8"/>
  <c r="S2" i="8"/>
  <c r="R2" i="8"/>
  <c r="Q2" i="8"/>
  <c r="P2" i="8"/>
  <c r="S2" i="11" l="1"/>
  <c r="T2" i="11"/>
  <c r="W2" i="11" l="1"/>
  <c r="AK28" i="11" l="1"/>
  <c r="AJ28" i="11"/>
  <c r="AH28" i="11"/>
  <c r="AM28" i="11"/>
  <c r="AI28" i="11"/>
  <c r="AG28" i="11"/>
  <c r="AL28" i="11"/>
  <c r="AG92" i="11"/>
  <c r="AK107" i="11"/>
  <c r="AJ104" i="11"/>
  <c r="AJ94" i="11"/>
  <c r="AI103" i="11"/>
  <c r="AL93" i="11"/>
  <c r="AJ109" i="11"/>
  <c r="AM93" i="11"/>
  <c r="AI108" i="11"/>
  <c r="AK101" i="11"/>
  <c r="AG96" i="11"/>
  <c r="AI97" i="11"/>
  <c r="AM99" i="11"/>
  <c r="AK96" i="11"/>
  <c r="AG105" i="11"/>
  <c r="AI104" i="11"/>
  <c r="AL94" i="11"/>
  <c r="AL101" i="11"/>
  <c r="AJ93" i="11"/>
  <c r="AK103" i="11"/>
  <c r="AM100" i="11"/>
  <c r="AM106" i="11"/>
  <c r="AJ107" i="11"/>
  <c r="AG107" i="11"/>
  <c r="AG91" i="11"/>
  <c r="AL109" i="11"/>
  <c r="AK109" i="11"/>
  <c r="AI105" i="11"/>
  <c r="AK91" i="11"/>
  <c r="AK97" i="11"/>
  <c r="AJ106" i="11"/>
  <c r="AK92" i="11"/>
  <c r="AG106" i="11"/>
  <c r="AL98" i="11"/>
  <c r="AH93" i="11"/>
  <c r="AL108" i="11"/>
  <c r="AL106" i="11"/>
  <c r="AK95" i="11"/>
  <c r="AK105" i="11"/>
  <c r="AM94" i="11"/>
  <c r="AG94" i="11"/>
  <c r="AG98" i="11"/>
  <c r="AJ97" i="11"/>
  <c r="AL102" i="11"/>
  <c r="AH97" i="11"/>
  <c r="AJ98" i="11"/>
  <c r="AH91" i="11"/>
  <c r="AJ101" i="11"/>
  <c r="AH105" i="11"/>
  <c r="AI92" i="11"/>
  <c r="AK102" i="11"/>
  <c r="AG93" i="11"/>
  <c r="AJ105" i="11"/>
  <c r="AG104" i="11"/>
  <c r="AM102" i="11"/>
  <c r="AK106" i="11"/>
  <c r="AL104" i="11"/>
  <c r="AG97" i="11"/>
  <c r="AH104" i="11"/>
  <c r="AH101" i="11"/>
  <c r="AH98" i="11"/>
  <c r="AM108" i="11"/>
  <c r="AJ91" i="11"/>
  <c r="AI99" i="11"/>
  <c r="AG101" i="11"/>
  <c r="AM91" i="11"/>
  <c r="AI94" i="11"/>
  <c r="AM109" i="11"/>
  <c r="AM107" i="11"/>
  <c r="AL96" i="11"/>
  <c r="AI91" i="11"/>
  <c r="AG99" i="11"/>
  <c r="AH95" i="11"/>
  <c r="AH99" i="11"/>
  <c r="AL99" i="11"/>
  <c r="AM103" i="11"/>
  <c r="AI98" i="11"/>
  <c r="AL100" i="11"/>
  <c r="AJ103" i="11"/>
  <c r="AI101" i="11"/>
  <c r="AH109" i="11"/>
  <c r="AL97" i="11"/>
  <c r="AJ102" i="11"/>
  <c r="AI96" i="11"/>
  <c r="AM98" i="11"/>
  <c r="AM95" i="11"/>
  <c r="AM92" i="11"/>
  <c r="AG103" i="11"/>
  <c r="AG100" i="11"/>
  <c r="AH106" i="11"/>
  <c r="AL107" i="11"/>
  <c r="AM105" i="11"/>
  <c r="AH108" i="11"/>
  <c r="AM96" i="11"/>
  <c r="AM101" i="11"/>
  <c r="AH102" i="11"/>
  <c r="AK99" i="11"/>
  <c r="AH96" i="11"/>
  <c r="AJ95" i="11"/>
  <c r="AG102" i="11"/>
  <c r="AI102" i="11"/>
  <c r="AM97" i="11"/>
  <c r="AJ92" i="11"/>
  <c r="AH100" i="11"/>
  <c r="AK98" i="11"/>
  <c r="AI100" i="11"/>
  <c r="AI107" i="11"/>
  <c r="AG108" i="11"/>
  <c r="AJ99" i="11"/>
  <c r="AH107" i="11"/>
  <c r="AH103" i="11"/>
  <c r="AK93" i="11"/>
  <c r="AI106" i="11"/>
  <c r="AK100" i="11"/>
  <c r="AK104" i="11"/>
  <c r="AJ108" i="11"/>
  <c r="AL91" i="11"/>
  <c r="AL105" i="11"/>
  <c r="AL103" i="11"/>
  <c r="AH94" i="11"/>
  <c r="AK94" i="11"/>
  <c r="AM104" i="11"/>
  <c r="AI95" i="11"/>
  <c r="AL95" i="11"/>
  <c r="AG109" i="11"/>
  <c r="AJ96" i="11"/>
  <c r="AH92" i="11"/>
  <c r="AG95" i="11"/>
  <c r="AI109" i="11"/>
  <c r="AI93" i="11"/>
  <c r="AJ100" i="11"/>
  <c r="AK108" i="11"/>
  <c r="AL92" i="11"/>
  <c r="AG90" i="11"/>
  <c r="AI90" i="11"/>
  <c r="AM90" i="11"/>
  <c r="AJ90" i="11"/>
  <c r="AH90" i="11"/>
  <c r="AL90" i="11"/>
  <c r="AK90" i="11"/>
  <c r="AI83" i="11"/>
  <c r="AG67" i="11"/>
  <c r="AL50" i="11"/>
  <c r="AJ33" i="11"/>
  <c r="AH17" i="11"/>
  <c r="AJ78" i="11"/>
  <c r="AH63" i="11"/>
  <c r="AM45" i="11"/>
  <c r="AK29" i="11"/>
  <c r="AI12" i="11"/>
  <c r="AJ76" i="11"/>
  <c r="AK84" i="11"/>
  <c r="AI68" i="11"/>
  <c r="AG52" i="11"/>
  <c r="AL34" i="11"/>
  <c r="AJ18" i="11"/>
  <c r="AK76" i="11"/>
  <c r="AI61" i="11"/>
  <c r="AG44" i="11"/>
  <c r="AL26" i="11"/>
  <c r="AJ10" i="11"/>
  <c r="AG71" i="11"/>
  <c r="AL55" i="11"/>
  <c r="AJ38" i="11"/>
  <c r="AH22" i="11"/>
  <c r="AM4" i="11"/>
  <c r="AH82" i="11"/>
  <c r="AI51" i="11"/>
  <c r="AL20" i="11"/>
  <c r="AJ77" i="11"/>
  <c r="AL58" i="11"/>
  <c r="AL40" i="11"/>
  <c r="AG7" i="11"/>
  <c r="AJ67" i="11"/>
  <c r="AL36" i="11"/>
  <c r="AK80" i="11"/>
  <c r="AI80" i="11"/>
  <c r="AM54" i="11"/>
  <c r="AK74" i="11"/>
  <c r="AG45" i="11"/>
  <c r="AJ14" i="11"/>
  <c r="AG47" i="11"/>
  <c r="AK30" i="11"/>
  <c r="AL4" i="11"/>
  <c r="AK66" i="11"/>
  <c r="AH59" i="11"/>
  <c r="AK27" i="11"/>
  <c r="AG84" i="11"/>
  <c r="AH61" i="11"/>
  <c r="AL43" i="11"/>
  <c r="AG4" i="11"/>
  <c r="AM65" i="11"/>
  <c r="AI34" i="11"/>
  <c r="AL3" i="11"/>
  <c r="AK75" i="11"/>
  <c r="AJ45" i="11"/>
  <c r="AM14" i="11"/>
  <c r="AG77" i="11"/>
  <c r="AH27" i="11"/>
  <c r="AJ88" i="11"/>
  <c r="AI78" i="11"/>
  <c r="AH12" i="11"/>
  <c r="AG55" i="11"/>
  <c r="AH32" i="11"/>
  <c r="AL81" i="11"/>
  <c r="AJ66" i="11"/>
  <c r="AH49" i="11"/>
  <c r="AM31" i="11"/>
  <c r="AK15" i="11"/>
  <c r="AM76" i="11"/>
  <c r="AK61" i="11"/>
  <c r="AI44" i="11"/>
  <c r="AG27" i="11"/>
  <c r="AL10" i="11"/>
  <c r="AG83" i="11"/>
  <c r="AJ50" i="11"/>
  <c r="AH33" i="11"/>
  <c r="AM16" i="11"/>
  <c r="AG75" i="11"/>
  <c r="AL59" i="11"/>
  <c r="AJ42" i="11"/>
  <c r="AH25" i="11"/>
  <c r="AM8" i="11"/>
  <c r="AL86" i="11"/>
  <c r="AJ69" i="11"/>
  <c r="AH54" i="11"/>
  <c r="AM36" i="11"/>
  <c r="AK20" i="11"/>
  <c r="AI3" i="11"/>
  <c r="AL78" i="11"/>
  <c r="AI48" i="11"/>
  <c r="AL17" i="11"/>
  <c r="AM49" i="11"/>
  <c r="AJ30" i="11"/>
  <c r="AJ65" i="11"/>
  <c r="AM33" i="11"/>
  <c r="AG74" i="11"/>
  <c r="AK40" i="11"/>
  <c r="AK71" i="11"/>
  <c r="AG42" i="11"/>
  <c r="AJ11" i="11"/>
  <c r="AL38" i="11"/>
  <c r="AI19" i="11"/>
  <c r="AL51" i="11"/>
  <c r="AH56" i="11"/>
  <c r="AK24" i="11"/>
  <c r="AI74" i="11"/>
  <c r="AM46" i="11"/>
  <c r="AJ32" i="11"/>
  <c r="AJ63" i="11"/>
  <c r="AI31" i="11"/>
  <c r="AL72" i="11"/>
  <c r="AG43" i="11"/>
  <c r="AM11" i="11"/>
  <c r="AK82" i="11"/>
  <c r="AM10" i="11"/>
  <c r="AH72" i="11"/>
  <c r="AJ29" i="11"/>
  <c r="AK87" i="11"/>
  <c r="AJ21" i="11"/>
  <c r="AG82" i="11"/>
  <c r="AM15" i="11"/>
  <c r="AH80" i="11"/>
  <c r="AM64" i="11"/>
  <c r="AK47" i="11"/>
  <c r="AG14" i="11"/>
  <c r="AI75" i="11"/>
  <c r="AG60" i="11"/>
  <c r="AL42" i="11"/>
  <c r="AJ25" i="11"/>
  <c r="AH9" i="11"/>
  <c r="AJ81" i="11"/>
  <c r="AH66" i="11"/>
  <c r="AM48" i="11"/>
  <c r="AK31" i="11"/>
  <c r="AI15" i="11"/>
  <c r="AL89" i="11"/>
  <c r="AJ73" i="11"/>
  <c r="AH58" i="11"/>
  <c r="AM40" i="11"/>
  <c r="AK23" i="11"/>
  <c r="AI7" i="11"/>
  <c r="AH85" i="11"/>
  <c r="AM68" i="11"/>
  <c r="AK52" i="11"/>
  <c r="AI35" i="11"/>
  <c r="AG19" i="11"/>
  <c r="AM74" i="11"/>
  <c r="AI45" i="11"/>
  <c r="AL14" i="11"/>
  <c r="AG56" i="11"/>
  <c r="AK32" i="11"/>
  <c r="AH19" i="11"/>
  <c r="AK86" i="11"/>
  <c r="AJ62" i="11"/>
  <c r="AI71" i="11"/>
  <c r="AH64" i="11"/>
  <c r="AG58" i="11"/>
  <c r="AI26" i="11"/>
  <c r="AG39" i="11"/>
  <c r="AJ8" i="11"/>
  <c r="AJ24" i="11"/>
  <c r="AM7" i="11"/>
  <c r="AJ83" i="11"/>
  <c r="AJ34" i="11"/>
  <c r="AH84" i="11"/>
  <c r="AH53" i="11"/>
  <c r="AK22" i="11"/>
  <c r="AI64" i="11"/>
  <c r="AK38" i="11"/>
  <c r="AJ26" i="11"/>
  <c r="AG76" i="11"/>
  <c r="AK60" i="11"/>
  <c r="AM29" i="11"/>
  <c r="AL69" i="11"/>
  <c r="AH40" i="11"/>
  <c r="AJ9" i="11"/>
  <c r="AG68" i="11"/>
  <c r="AJ44" i="11"/>
  <c r="AK39" i="11"/>
  <c r="AL45" i="11"/>
  <c r="AI70" i="11"/>
  <c r="AH4" i="11"/>
  <c r="AJ49" i="11"/>
  <c r="AK78" i="11"/>
  <c r="AI63" i="11"/>
  <c r="AG46" i="11"/>
  <c r="AL29" i="11"/>
  <c r="AJ12" i="11"/>
  <c r="AL73" i="11"/>
  <c r="AJ58" i="11"/>
  <c r="AH41" i="11"/>
  <c r="AM23" i="11"/>
  <c r="AK7" i="11"/>
  <c r="AM79" i="11"/>
  <c r="AK64" i="11"/>
  <c r="AI47" i="11"/>
  <c r="AL13" i="11"/>
  <c r="AH88" i="11"/>
  <c r="AM71" i="11"/>
  <c r="AK56" i="11"/>
  <c r="AI39" i="11"/>
  <c r="AL5" i="11"/>
  <c r="AK83" i="11"/>
  <c r="AI67" i="11"/>
  <c r="AG51" i="11"/>
  <c r="AL33" i="11"/>
  <c r="AJ17" i="11"/>
  <c r="AJ72" i="11"/>
  <c r="AI42" i="11"/>
  <c r="AL11" i="11"/>
  <c r="AL41" i="11"/>
  <c r="AI22" i="11"/>
  <c r="AH7" i="11"/>
  <c r="AG70" i="11"/>
  <c r="AJ59" i="11"/>
  <c r="AM27" i="11"/>
  <c r="AM61" i="11"/>
  <c r="AM52" i="11"/>
  <c r="AL49" i="11"/>
  <c r="AG13" i="11"/>
  <c r="AH67" i="11"/>
  <c r="AG36" i="11"/>
  <c r="AJ5" i="11"/>
  <c r="AJ13" i="11"/>
  <c r="AH70" i="11"/>
  <c r="AH21" i="11"/>
  <c r="AM80" i="11"/>
  <c r="AH50" i="11"/>
  <c r="AK19" i="11"/>
  <c r="AG53" i="11"/>
  <c r="AK26" i="11"/>
  <c r="AH13" i="11"/>
  <c r="AL63" i="11"/>
  <c r="AL88" i="11"/>
  <c r="AK57" i="11"/>
  <c r="AG26" i="11"/>
  <c r="AL67" i="11"/>
  <c r="AH37" i="11"/>
  <c r="AK6" i="11"/>
  <c r="AL54" i="11"/>
  <c r="AL61" i="11"/>
  <c r="AM56" i="11"/>
  <c r="AG6" i="11"/>
  <c r="AG63" i="11"/>
  <c r="AJ87" i="11"/>
  <c r="AL37" i="11"/>
  <c r="AL66" i="11"/>
  <c r="AK88" i="11"/>
  <c r="AI72" i="11"/>
  <c r="AG57" i="11"/>
  <c r="AL39" i="11"/>
  <c r="AH6" i="11"/>
  <c r="AK79" i="11"/>
  <c r="AL84" i="11"/>
  <c r="AJ68" i="11"/>
  <c r="AH52" i="11"/>
  <c r="AM34" i="11"/>
  <c r="AK18" i="11"/>
  <c r="AM89" i="11"/>
  <c r="AK73" i="11"/>
  <c r="AI58" i="11"/>
  <c r="AG41" i="11"/>
  <c r="AL23" i="11"/>
  <c r="AJ7" i="11"/>
  <c r="AM82" i="11"/>
  <c r="AI50" i="11"/>
  <c r="AG33" i="11"/>
  <c r="AL16" i="11"/>
  <c r="AI77" i="11"/>
  <c r="AG62" i="11"/>
  <c r="AL44" i="11"/>
  <c r="AJ27" i="11"/>
  <c r="AH11" i="11"/>
  <c r="AK62" i="11"/>
  <c r="AG31" i="11"/>
  <c r="AK8" i="11"/>
  <c r="AG87" i="11"/>
  <c r="AM57" i="11"/>
  <c r="AM12" i="11"/>
  <c r="AM77" i="11"/>
  <c r="AH48" i="11"/>
  <c r="AK17" i="11"/>
  <c r="AJ22" i="11"/>
  <c r="AI16" i="11"/>
  <c r="AL57" i="11"/>
  <c r="AI56" i="11"/>
  <c r="AL24" i="11"/>
  <c r="AH69" i="11"/>
  <c r="AG35" i="11"/>
  <c r="AK89" i="11"/>
  <c r="AI86" i="11"/>
  <c r="AK50" i="11"/>
  <c r="AJ15" i="11"/>
  <c r="AJ61" i="11"/>
  <c r="AI25" i="11"/>
  <c r="AL79" i="11"/>
  <c r="AK45" i="11"/>
  <c r="AK2" i="11"/>
  <c r="AJ60" i="11"/>
  <c r="AI24" i="11"/>
  <c r="AK59" i="11"/>
  <c r="AJ3" i="11"/>
  <c r="AL60" i="11"/>
  <c r="AI69" i="11"/>
  <c r="AK11" i="11"/>
  <c r="AG5" i="11"/>
  <c r="AG73" i="11"/>
  <c r="AI62" i="11"/>
  <c r="AJ2" i="11"/>
  <c r="AJ52" i="11"/>
  <c r="AM41" i="11"/>
  <c r="AL83" i="11"/>
  <c r="AJ46" i="11"/>
  <c r="AM72" i="11"/>
  <c r="AG21" i="11"/>
  <c r="AI82" i="11"/>
  <c r="AH29" i="11"/>
  <c r="AG10" i="11"/>
  <c r="AJ36" i="11"/>
  <c r="AH81" i="11"/>
  <c r="AL52" i="11"/>
  <c r="AI73" i="11"/>
  <c r="AI60" i="11"/>
  <c r="AG9" i="11"/>
  <c r="AG8" i="11"/>
  <c r="AH10" i="11"/>
  <c r="AK16" i="11"/>
  <c r="AL6" i="11"/>
  <c r="AM3" i="11"/>
  <c r="AJ75" i="11"/>
  <c r="AM37" i="11"/>
  <c r="AK69" i="11"/>
  <c r="AM81" i="11"/>
  <c r="AL22" i="11"/>
  <c r="AH62" i="11"/>
  <c r="AI40" i="11"/>
  <c r="AM73" i="11"/>
  <c r="AH20" i="11"/>
  <c r="AK13" i="11"/>
  <c r="AK67" i="11"/>
  <c r="AJ20" i="11"/>
  <c r="AG2" i="11"/>
  <c r="AM26" i="11"/>
  <c r="AI21" i="11"/>
  <c r="AI65" i="11"/>
  <c r="AM75" i="11"/>
  <c r="AK68" i="11"/>
  <c r="AK25" i="11"/>
  <c r="AM85" i="11"/>
  <c r="AH83" i="11"/>
  <c r="AG49" i="11"/>
  <c r="AM13" i="11"/>
  <c r="AM59" i="11"/>
  <c r="AH78" i="11"/>
  <c r="AH36" i="11"/>
  <c r="AM58" i="11"/>
  <c r="AH57" i="11"/>
  <c r="AH3" i="11"/>
  <c r="AI49" i="11"/>
  <c r="AJ56" i="11"/>
  <c r="AK5" i="11"/>
  <c r="AJ43" i="11"/>
  <c r="AI59" i="11"/>
  <c r="AM55" i="11"/>
  <c r="AI32" i="11"/>
  <c r="AM38" i="11"/>
  <c r="AK44" i="11"/>
  <c r="AM70" i="11"/>
  <c r="AJ37" i="11"/>
  <c r="AM69" i="11"/>
  <c r="AG18" i="11"/>
  <c r="AG79" i="11"/>
  <c r="AL25" i="11"/>
  <c r="AJ40" i="11"/>
  <c r="AL87" i="11"/>
  <c r="AI46" i="11"/>
  <c r="AG37" i="11"/>
  <c r="AI27" i="11"/>
  <c r="AL80" i="11"/>
  <c r="AJ71" i="11"/>
  <c r="AM6" i="11"/>
  <c r="AJ16" i="11"/>
  <c r="AK3" i="11"/>
  <c r="AK41" i="11"/>
  <c r="AH89" i="11"/>
  <c r="AH39" i="11"/>
  <c r="AH14" i="11"/>
  <c r="AH46" i="11"/>
  <c r="AI43" i="11"/>
  <c r="AK4" i="11"/>
  <c r="AG72" i="11"/>
  <c r="AH15" i="11"/>
  <c r="AM83" i="11"/>
  <c r="AL68" i="11"/>
  <c r="AJ82" i="11"/>
  <c r="AK46" i="11"/>
  <c r="AG3" i="11"/>
  <c r="AJ84" i="11"/>
  <c r="AG30" i="11"/>
  <c r="AH35" i="11"/>
  <c r="AJ89" i="11"/>
  <c r="AI5" i="11"/>
  <c r="AL70" i="11"/>
  <c r="AG78" i="11"/>
  <c r="AM25" i="11"/>
  <c r="AL71" i="11"/>
  <c r="AG89" i="11"/>
  <c r="AM44" i="11"/>
  <c r="AH31" i="11"/>
  <c r="AH60" i="11"/>
  <c r="AG24" i="11"/>
  <c r="AK81" i="11"/>
  <c r="AJ47" i="11"/>
  <c r="AJ4" i="11"/>
  <c r="AL56" i="11"/>
  <c r="AK21" i="11"/>
  <c r="AK34" i="11"/>
  <c r="AI57" i="11"/>
  <c r="AI14" i="11"/>
  <c r="AI54" i="11"/>
  <c r="AI2" i="11"/>
  <c r="AI76" i="11"/>
  <c r="AH26" i="11"/>
  <c r="AG54" i="11"/>
  <c r="AG50" i="11"/>
  <c r="AH30" i="11"/>
  <c r="AI53" i="11"/>
  <c r="AJ41" i="11"/>
  <c r="AG16" i="11"/>
  <c r="AK77" i="11"/>
  <c r="AM35" i="11"/>
  <c r="AL32" i="11"/>
  <c r="AH23" i="11"/>
  <c r="AM67" i="11"/>
  <c r="AG15" i="11"/>
  <c r="AL65" i="11"/>
  <c r="AG32" i="11"/>
  <c r="AH18" i="11"/>
  <c r="AK53" i="11"/>
  <c r="AG66" i="11"/>
  <c r="AJ80" i="11"/>
  <c r="AH45" i="11"/>
  <c r="AG48" i="11"/>
  <c r="AL9" i="11"/>
  <c r="AM17" i="11"/>
  <c r="AJ64" i="11"/>
  <c r="AM78" i="11"/>
  <c r="AG34" i="11"/>
  <c r="AH42" i="11"/>
  <c r="AK33" i="11"/>
  <c r="AI79" i="11"/>
  <c r="AM86" i="11"/>
  <c r="AJ57" i="11"/>
  <c r="AL75" i="11"/>
  <c r="AH2" i="11"/>
  <c r="AL46" i="11"/>
  <c r="AJ51" i="11"/>
  <c r="AI41" i="11"/>
  <c r="AL2" i="11"/>
  <c r="AM22" i="11"/>
  <c r="AI13" i="11"/>
  <c r="AJ48" i="11"/>
  <c r="AL82" i="11"/>
  <c r="AL74" i="11"/>
  <c r="AL19" i="11"/>
  <c r="AI30" i="11"/>
  <c r="AK36" i="11"/>
  <c r="AG12" i="11"/>
  <c r="AK65" i="11"/>
  <c r="AK14" i="11"/>
  <c r="AM60" i="11"/>
  <c r="AK85" i="11"/>
  <c r="AK58" i="11"/>
  <c r="AM21" i="11"/>
  <c r="AG80" i="11"/>
  <c r="AG38" i="11"/>
  <c r="AM2" i="11"/>
  <c r="AI88" i="11"/>
  <c r="AH55" i="11"/>
  <c r="AG20" i="11"/>
  <c r="AH68" i="11"/>
  <c r="AJ31" i="11"/>
  <c r="AG88" i="11"/>
  <c r="AM88" i="11"/>
  <c r="AM47" i="11"/>
  <c r="AL12" i="11"/>
  <c r="AM39" i="11"/>
  <c r="AG64" i="11"/>
  <c r="AH51" i="11"/>
  <c r="AL35" i="11"/>
  <c r="AJ35" i="11"/>
  <c r="AL15" i="11"/>
  <c r="AM50" i="11"/>
  <c r="AI87" i="11"/>
  <c r="AI89" i="11"/>
  <c r="AJ74" i="11"/>
  <c r="AM32" i="11"/>
  <c r="AJ19" i="11"/>
  <c r="AK55" i="11"/>
  <c r="AM9" i="11"/>
  <c r="AK54" i="11"/>
  <c r="AK12" i="11"/>
  <c r="AL62" i="11"/>
  <c r="AM20" i="11"/>
  <c r="AM30" i="11"/>
  <c r="AK9" i="11"/>
  <c r="AL30" i="11"/>
  <c r="AG22" i="11"/>
  <c r="AH5" i="11"/>
  <c r="AK51" i="11"/>
  <c r="AH43" i="11"/>
  <c r="AG11" i="11"/>
  <c r="AG61" i="11"/>
  <c r="AK48" i="11"/>
  <c r="AJ6" i="11"/>
  <c r="AG59" i="11"/>
  <c r="AH87" i="11"/>
  <c r="AJ54" i="11"/>
  <c r="AM66" i="11"/>
  <c r="AM51" i="11"/>
  <c r="AK43" i="11"/>
  <c r="AM43" i="11"/>
  <c r="AJ23" i="11"/>
  <c r="AK49" i="11"/>
  <c r="AI55" i="11"/>
  <c r="AI36" i="11"/>
  <c r="AH65" i="11"/>
  <c r="AL77" i="11"/>
  <c r="AL47" i="11"/>
  <c r="AI37" i="11"/>
  <c r="AH34" i="11"/>
  <c r="AL53" i="11"/>
  <c r="AH47" i="11"/>
  <c r="AI6" i="11"/>
  <c r="AH24" i="11"/>
  <c r="AH77" i="11"/>
  <c r="AG23" i="11"/>
  <c r="AI23" i="11"/>
  <c r="AJ55" i="11"/>
  <c r="AI20" i="11"/>
  <c r="AK70" i="11"/>
  <c r="AK10" i="11"/>
  <c r="AG17" i="11"/>
  <c r="AM53" i="11"/>
  <c r="AL18" i="11"/>
  <c r="AG69" i="11"/>
  <c r="AI33" i="11"/>
  <c r="AH86" i="11"/>
  <c r="AH44" i="11"/>
  <c r="AI29" i="11"/>
  <c r="AJ86" i="11"/>
  <c r="AI52" i="11"/>
  <c r="AI9" i="11"/>
  <c r="AL31" i="11"/>
  <c r="AI84" i="11"/>
  <c r="AL76" i="11"/>
  <c r="AK42" i="11"/>
  <c r="AM5" i="11"/>
  <c r="AM62" i="11"/>
  <c r="AM19" i="11"/>
  <c r="AG29" i="11"/>
  <c r="AH76" i="11"/>
  <c r="AK35" i="11"/>
  <c r="AM84" i="11"/>
  <c r="AM42" i="11"/>
  <c r="AL7" i="11"/>
  <c r="AI66" i="11"/>
  <c r="AH75" i="11"/>
  <c r="AJ39" i="11"/>
  <c r="AI4" i="11"/>
  <c r="AJ53" i="11"/>
  <c r="AI18" i="11"/>
  <c r="AH74" i="11"/>
  <c r="AG40" i="11"/>
  <c r="AJ85" i="11"/>
  <c r="AG25" i="11"/>
  <c r="AH73" i="11"/>
  <c r="AI85" i="11"/>
  <c r="AM24" i="11"/>
  <c r="AJ79" i="11"/>
  <c r="AG85" i="11"/>
  <c r="AL27" i="11"/>
  <c r="AH8" i="11"/>
  <c r="AI38" i="11"/>
  <c r="AG65" i="11"/>
  <c r="AI11" i="11"/>
  <c r="AH71" i="11"/>
  <c r="AM63" i="11"/>
  <c r="AL85" i="11"/>
  <c r="AL64" i="11"/>
  <c r="AG86" i="11"/>
  <c r="AK72" i="11"/>
  <c r="AG81" i="11"/>
  <c r="AI8" i="11"/>
  <c r="AH38" i="11"/>
  <c r="AJ70" i="11"/>
  <c r="AL48" i="11"/>
  <c r="AL8" i="11"/>
  <c r="AH16" i="11"/>
  <c r="AH79" i="11"/>
  <c r="AK37" i="11"/>
  <c r="AM87" i="11"/>
  <c r="AI81" i="11"/>
  <c r="AK63" i="11"/>
  <c r="AI10" i="11"/>
  <c r="AI17" i="11"/>
  <c r="AM18" i="11"/>
  <c r="AL21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<sst xmlns="http://schemas.openxmlformats.org/spreadsheetml/2006/main" count="7195" uniqueCount="829">
  <si>
    <t>Summary</t>
  </si>
  <si>
    <t>SF Account Name</t>
  </si>
  <si>
    <t>CS Type</t>
  </si>
  <si>
    <t>Assigned Product Consultant.displayName</t>
  </si>
  <si>
    <t>Assigned Project Manager.displayName</t>
  </si>
  <si>
    <t>Assigned Business Analyst.displayName</t>
  </si>
  <si>
    <t>Analyst 2</t>
  </si>
  <si>
    <t>Dx LMs</t>
  </si>
  <si>
    <t>Tx LMs</t>
  </si>
  <si>
    <t>Estimated Delivery Date (EDD)</t>
  </si>
  <si>
    <t>Delivery Year</t>
  </si>
  <si>
    <t>Module - Risk</t>
  </si>
  <si>
    <t>Module - Others</t>
  </si>
  <si>
    <t>Created</t>
  </si>
  <si>
    <t>Delivery Date</t>
  </si>
  <si>
    <t>Created Main</t>
  </si>
  <si>
    <t>Delivery Date Main</t>
  </si>
  <si>
    <t>Total LMs</t>
  </si>
  <si>
    <t>LM Multiplier</t>
  </si>
  <si>
    <t>Adams-Columbia Electric Cooperative</t>
  </si>
  <si>
    <t>Validate</t>
  </si>
  <si>
    <t>Nitish Ranjan</t>
  </si>
  <si>
    <t>Alabama Power Company</t>
  </si>
  <si>
    <t>Bond</t>
  </si>
  <si>
    <t>Gunjesh Kumar</t>
  </si>
  <si>
    <t>Mannat Padha</t>
  </si>
  <si>
    <t>Segment Level</t>
  </si>
  <si>
    <t>Span Level</t>
  </si>
  <si>
    <t>Arkansas Valley Electric Cooperative Corporation</t>
  </si>
  <si>
    <t>Vipin Detani</t>
  </si>
  <si>
    <t>Avista Corporation</t>
  </si>
  <si>
    <t>Others</t>
  </si>
  <si>
    <t>Integrate</t>
  </si>
  <si>
    <t>Michelle Persinko</t>
  </si>
  <si>
    <t>Shashank Shekhar</t>
  </si>
  <si>
    <t>Bear Valley Electric Service</t>
  </si>
  <si>
    <t>Grant Lee</t>
  </si>
  <si>
    <t>Wildfire Risk</t>
  </si>
  <si>
    <t>Big Rivers Electric Corporation</t>
  </si>
  <si>
    <t>Kriti Gupta</t>
  </si>
  <si>
    <t>Inspection</t>
  </si>
  <si>
    <t>Black River Electric Cooperative</t>
  </si>
  <si>
    <t>City of East Point</t>
  </si>
  <si>
    <t>City of High Point</t>
  </si>
  <si>
    <t>Jessica Felde</t>
  </si>
  <si>
    <t>City of Oak Ridge</t>
  </si>
  <si>
    <t>City of Tallahassee Utilities</t>
  </si>
  <si>
    <t>Clay Electric</t>
  </si>
  <si>
    <t>Clearwater Power Company</t>
  </si>
  <si>
    <t>Adiga</t>
  </si>
  <si>
    <t>Co-Mo Electric Cooperative</t>
  </si>
  <si>
    <t>Piyush Kumar Pandey</t>
  </si>
  <si>
    <t>Continental Divide Electric Cooperative</t>
  </si>
  <si>
    <t>Jacob Calzavara</t>
  </si>
  <si>
    <t>Duke Energy</t>
  </si>
  <si>
    <t>[2025 SaaS Y4] EKPC IVMS/IEMS</t>
  </si>
  <si>
    <t>East Kentucky Power Cooperative</t>
  </si>
  <si>
    <t>Not Sold</t>
  </si>
  <si>
    <t>El Paso Electric Company</t>
  </si>
  <si>
    <t>Enel Group</t>
  </si>
  <si>
    <t>Isabella Espinel</t>
  </si>
  <si>
    <t>Enerjisa Enerji</t>
  </si>
  <si>
    <t>Entergy</t>
  </si>
  <si>
    <t>EPB of Chattanooga</t>
  </si>
  <si>
    <t>Fayette Electric Cooperative</t>
  </si>
  <si>
    <t>Four County Electric Membership Corporation</t>
  </si>
  <si>
    <t>Georgia Power Company</t>
  </si>
  <si>
    <t>GrandBridge Energy</t>
  </si>
  <si>
    <t>Green Mountain Power</t>
  </si>
  <si>
    <t>Emily Turner</t>
  </si>
  <si>
    <t>Greenville Electric Utility System</t>
  </si>
  <si>
    <t>GreyStone Power Corporation</t>
  </si>
  <si>
    <t>Halifax Electric Membership Corporation</t>
  </si>
  <si>
    <t>Haywood Electric Membership Corporation</t>
  </si>
  <si>
    <t>Hydro One</t>
  </si>
  <si>
    <t>Jamaica Public Service Company</t>
  </si>
  <si>
    <t>Jones-Onslow Electric Membership Corporation</t>
  </si>
  <si>
    <t>Kit Carson Electric Cooperative</t>
  </si>
  <si>
    <t>Klickitat Public Utility District No 1</t>
  </si>
  <si>
    <t>Lake Region Electric Cooperative, MN</t>
  </si>
  <si>
    <t>Lower Valley Energy</t>
  </si>
  <si>
    <t>Lumbee River Electric Membership Corporation</t>
  </si>
  <si>
    <t>Mitchell Electric Membership Corporation</t>
  </si>
  <si>
    <t>[2026 SaaS Y6] NG MA</t>
  </si>
  <si>
    <t>National Grid USA</t>
  </si>
  <si>
    <t>Explore</t>
  </si>
  <si>
    <t>Should Cost</t>
  </si>
  <si>
    <t>North Georgia Electric Member Corporation</t>
  </si>
  <si>
    <t>Nova Scotia Power</t>
  </si>
  <si>
    <t>Omaha Public Power District</t>
  </si>
  <si>
    <t>Oregon Trail Electric Cooperative</t>
  </si>
  <si>
    <t>Orion New Zealand</t>
  </si>
  <si>
    <t>Owatonna Public Utilities</t>
  </si>
  <si>
    <t>Divyansh Diwan</t>
  </si>
  <si>
    <t>Powerco</t>
  </si>
  <si>
    <t>[2025 Y2 SaaS] PNM</t>
  </si>
  <si>
    <t>Public Service Company of New Mexico</t>
  </si>
  <si>
    <t>Randolph Electric Member Corporation</t>
  </si>
  <si>
    <t>South River Electric Member Corporation</t>
  </si>
  <si>
    <t>Sumter Electric Cooperative</t>
  </si>
  <si>
    <t>Suwannee Valley Electric Cooperative</t>
  </si>
  <si>
    <t>Toronto Hydro</t>
  </si>
  <si>
    <t>Tri-County Electric Cooperative (SC)</t>
  </si>
  <si>
    <t>Tri-County Rural Electric Cooperative (PA)</t>
  </si>
  <si>
    <t>Trinity Public Utilities District</t>
  </si>
  <si>
    <t>Trinity Valley Electric Cooperative</t>
  </si>
  <si>
    <t>United Power</t>
  </si>
  <si>
    <t>Wake Electric Membership Corporation</t>
  </si>
  <si>
    <t>Washington Electric Cooperative</t>
  </si>
  <si>
    <t>Prakhar  Shendge</t>
  </si>
  <si>
    <t>Wataynikaneyap Power</t>
  </si>
  <si>
    <t>Xcel Energy</t>
  </si>
  <si>
    <t>Role</t>
  </si>
  <si>
    <t>PM</t>
  </si>
  <si>
    <t>CSM</t>
  </si>
  <si>
    <t>Mukul Mathur</t>
  </si>
  <si>
    <t>Susheel Srinivas</t>
  </si>
  <si>
    <t>Mukul Gupta</t>
  </si>
  <si>
    <t>Rishabh Pandey</t>
  </si>
  <si>
    <t>Kuljeet Keshav</t>
  </si>
  <si>
    <t>VIBE Tag</t>
  </si>
  <si>
    <t>LMs</t>
  </si>
  <si>
    <t>Orbit</t>
  </si>
  <si>
    <t>SE</t>
  </si>
  <si>
    <t>Analyst 1</t>
  </si>
  <si>
    <t>Customer Journey Stage</t>
  </si>
  <si>
    <t>Stage</t>
  </si>
  <si>
    <t>Project Start M0</t>
  </si>
  <si>
    <t>Project Start M1</t>
  </si>
  <si>
    <t>Project Mid</t>
  </si>
  <si>
    <t>Project End M-1</t>
  </si>
  <si>
    <t>Project End M0</t>
  </si>
  <si>
    <t>Project End M1</t>
  </si>
  <si>
    <t>Project End M1+</t>
  </si>
  <si>
    <t>Discovery and App Go-Live</t>
  </si>
  <si>
    <t>LM Bucket</t>
  </si>
  <si>
    <t>Multiplier</t>
  </si>
  <si>
    <t>Final Multiplier Chart</t>
  </si>
  <si>
    <t>Orbit A</t>
  </si>
  <si>
    <t>Orbit B</t>
  </si>
  <si>
    <t>Orbit C&amp;D</t>
  </si>
  <si>
    <t>Imagery Planning, Decisioning &amp; Acquision</t>
  </si>
  <si>
    <t>GIS - Correction / Validation</t>
  </si>
  <si>
    <t>Model Run</t>
  </si>
  <si>
    <t>A</t>
  </si>
  <si>
    <t>Analysis</t>
  </si>
  <si>
    <t>Results Presentation and Change Management</t>
  </si>
  <si>
    <t>Ongoing - Adoption Support</t>
  </si>
  <si>
    <t>Sales Handover + Kick off</t>
  </si>
  <si>
    <t>B</t>
  </si>
  <si>
    <t>Discovery + Imagery</t>
  </si>
  <si>
    <t>Business Case</t>
  </si>
  <si>
    <t>App Go Live + Confirm Requirements</t>
  </si>
  <si>
    <t>PS Work</t>
  </si>
  <si>
    <t>Validate as a multiplier</t>
  </si>
  <si>
    <t>C</t>
  </si>
  <si>
    <t>Insights &amp; Recs + FV</t>
  </si>
  <si>
    <t>not sure of bond?</t>
  </si>
  <si>
    <t>Change Management  + Conversion</t>
  </si>
  <si>
    <t>Discovery, App Go-Live &amp; Data QC</t>
  </si>
  <si>
    <t>Analyst</t>
  </si>
  <si>
    <t>D</t>
  </si>
  <si>
    <t>Image Acquisition &amp; Ingestion</t>
  </si>
  <si>
    <t>Ingest Corrected / Validated Shapefile &amp; Bbox Creation</t>
  </si>
  <si>
    <t>Discovery</t>
  </si>
  <si>
    <t>initial thought</t>
  </si>
  <si>
    <t>3 hrs for internal analysis</t>
  </si>
  <si>
    <t xml:space="preserve">20 hrs </t>
  </si>
  <si>
    <t>0.75X of Validate discovery</t>
  </si>
  <si>
    <t>look for nuance around non-us cx</t>
  </si>
  <si>
    <t>explore think for it as validate</t>
  </si>
  <si>
    <t xml:space="preserve">Discovery </t>
  </si>
  <si>
    <t>Process</t>
  </si>
  <si>
    <t xml:space="preserve">Results Presentation </t>
  </si>
  <si>
    <t>Assigned Business Analyst 2.displayName</t>
  </si>
  <si>
    <t>Analyst 1 Load% (1 to 100)</t>
  </si>
  <si>
    <t>Required Delivery Date (RDD)</t>
  </si>
  <si>
    <t>Chiranjiv Kathuria</t>
  </si>
  <si>
    <t>Savannah Peery</t>
  </si>
  <si>
    <t>Stefanie Naden</t>
  </si>
  <si>
    <t>Kshitiz Agrawal</t>
  </si>
  <si>
    <t>BrightRidge Public Power</t>
  </si>
  <si>
    <t>Central Virginia Electric Cooperative</t>
  </si>
  <si>
    <t>City of Denton</t>
  </si>
  <si>
    <t>Divyanshi</t>
  </si>
  <si>
    <t>Aalimah Showkat</t>
  </si>
  <si>
    <t>Jessica  Felde</t>
  </si>
  <si>
    <t>Aryan Kumar</t>
  </si>
  <si>
    <t>Dominion Energy</t>
  </si>
  <si>
    <t>Aakash Agrawal</t>
  </si>
  <si>
    <t>ENMAX</t>
  </si>
  <si>
    <t>Entergy Corporation</t>
  </si>
  <si>
    <t>ENWIN Utilities</t>
  </si>
  <si>
    <t>Fannin County Electric Cooperative</t>
  </si>
  <si>
    <t>Fluxys Belgium</t>
  </si>
  <si>
    <t>Jackson Electric Cooperative</t>
  </si>
  <si>
    <t>Maritime Electric Company</t>
  </si>
  <si>
    <t>Midstate Electric Cooperative</t>
  </si>
  <si>
    <t>Sarthak Goyal</t>
  </si>
  <si>
    <t>Ozarks Electric Cooperative Corporation</t>
  </si>
  <si>
    <t>Peninsula Light Company</t>
  </si>
  <si>
    <t>Public Service Electric &amp; Gas</t>
  </si>
  <si>
    <t>Puget Sound Energy</t>
  </si>
  <si>
    <t>Rochelle Municipal Utilities</t>
  </si>
  <si>
    <t>South Central Power Company</t>
  </si>
  <si>
    <t>Sun River Electric Cooperative</t>
  </si>
  <si>
    <t>The Energy Cooperative</t>
  </si>
  <si>
    <t>Gaurav Jaiswal</t>
  </si>
  <si>
    <t>Tri-County Electric Cooperative (OK)</t>
  </si>
  <si>
    <t>San Miguel Electric Power Association</t>
  </si>
  <si>
    <t>Orlando Utilities Commission</t>
  </si>
  <si>
    <t>Greenville Utilities Commission</t>
  </si>
  <si>
    <t>Hawaiian Electric Company</t>
  </si>
  <si>
    <t>Pacific Gas &amp; Electric Company</t>
  </si>
  <si>
    <t>London Hydro</t>
  </si>
  <si>
    <t>UK Power Networks</t>
  </si>
  <si>
    <t>Product</t>
  </si>
  <si>
    <t>IVMS</t>
  </si>
  <si>
    <t>NA</t>
  </si>
  <si>
    <t>TBD</t>
  </si>
  <si>
    <t>-</t>
  </si>
  <si>
    <t>AIMs - Electric Utilities</t>
  </si>
  <si>
    <t>Shashank Sharma</t>
  </si>
  <si>
    <t>Nashville Electric Service</t>
  </si>
  <si>
    <t>Algonquin Power &amp; Utilities</t>
  </si>
  <si>
    <t>EDP</t>
  </si>
  <si>
    <t>NV Energy</t>
  </si>
  <si>
    <t>Turlock Irrigation District</t>
  </si>
  <si>
    <t>Wise Electric Cooperative</t>
  </si>
  <si>
    <t>Electric Power Research Institute</t>
  </si>
  <si>
    <t>4-County Electric Power Association</t>
  </si>
  <si>
    <t>City of Lake Worth Beach</t>
  </si>
  <si>
    <t>Arizona Public Service</t>
  </si>
  <si>
    <t>Customer Name</t>
  </si>
  <si>
    <t>Current Status</t>
  </si>
  <si>
    <t>Contract Type</t>
  </si>
  <si>
    <t>Prod Version</t>
  </si>
  <si>
    <t>Sales POC</t>
  </si>
  <si>
    <t>Account Type</t>
  </si>
  <si>
    <t>Pricing Tier</t>
  </si>
  <si>
    <t>ARR</t>
  </si>
  <si>
    <t>Distribution LMs</t>
  </si>
  <si>
    <t>Transmission LMs</t>
  </si>
  <si>
    <t>Termination for Convenience</t>
  </si>
  <si>
    <t>Contract Start Date</t>
  </si>
  <si>
    <t>Contract Renewal Date</t>
  </si>
  <si>
    <t>Conversion Date</t>
  </si>
  <si>
    <t>Churn Date</t>
  </si>
  <si>
    <t>Module - CT</t>
  </si>
  <si>
    <t>Module - TH</t>
  </si>
  <si>
    <t>Module - WT</t>
  </si>
  <si>
    <t>LDD</t>
  </si>
  <si>
    <t>Health</t>
  </si>
  <si>
    <t>Zip Code</t>
  </si>
  <si>
    <t>HQ State</t>
  </si>
  <si>
    <t>HQ Country</t>
  </si>
  <si>
    <t>Active</t>
  </si>
  <si>
    <t>1-Year SaaS</t>
  </si>
  <si>
    <t>Robert Guider</t>
  </si>
  <si>
    <t>Co-Op</t>
  </si>
  <si>
    <t>Essential</t>
  </si>
  <si>
    <t>No</t>
  </si>
  <si>
    <t xml:space="preserve">Grey </t>
  </si>
  <si>
    <t>53934,USA</t>
  </si>
  <si>
    <t>Wisconsin</t>
  </si>
  <si>
    <t>USA</t>
  </si>
  <si>
    <t>CRIS</t>
  </si>
  <si>
    <t>Multi-Year SaaS</t>
  </si>
  <si>
    <t>IOU</t>
  </si>
  <si>
    <t>Yes - Penalty</t>
  </si>
  <si>
    <t>35226,USA</t>
  </si>
  <si>
    <t>Alabama</t>
  </si>
  <si>
    <t>v2.5.3</t>
  </si>
  <si>
    <t>Custom</t>
  </si>
  <si>
    <t xml:space="preserve">Green </t>
  </si>
  <si>
    <t>Alectra Utilities</t>
  </si>
  <si>
    <t>Pilot</t>
  </si>
  <si>
    <t>L5N 7A6,Canada</t>
  </si>
  <si>
    <t>Non-US</t>
  </si>
  <si>
    <t>Canada</t>
  </si>
  <si>
    <t>Ameren</t>
  </si>
  <si>
    <t>IEMS</t>
  </si>
  <si>
    <t>Not Converted</t>
  </si>
  <si>
    <t>63103,USA</t>
  </si>
  <si>
    <t>Missouri</t>
  </si>
  <si>
    <t>v2.3</t>
  </si>
  <si>
    <t>Standard</t>
  </si>
  <si>
    <t>72949,USA</t>
  </si>
  <si>
    <t>Arkansas</t>
  </si>
  <si>
    <t>ATCO Electric</t>
  </si>
  <si>
    <t>T3E 8B4,Canada</t>
  </si>
  <si>
    <t>Ausgrid</t>
  </si>
  <si>
    <t>Select</t>
  </si>
  <si>
    <t>Tree Species</t>
  </si>
  <si>
    <t xml:space="preserve">Yellow </t>
  </si>
  <si>
    <t>2001,Australia</t>
  </si>
  <si>
    <t>Australia</t>
  </si>
  <si>
    <t>AusNet Services</t>
  </si>
  <si>
    <t>3006,Australia</t>
  </si>
  <si>
    <t>Avangrid</t>
  </si>
  <si>
    <t>04260,USA</t>
  </si>
  <si>
    <t>Maine</t>
  </si>
  <si>
    <t>Churned</t>
  </si>
  <si>
    <t>99252,USA</t>
  </si>
  <si>
    <t>Washington</t>
  </si>
  <si>
    <t>Yes - 30 Days Notice</t>
  </si>
  <si>
    <t>No Inspection Analysis</t>
  </si>
  <si>
    <t xml:space="preserve">Red </t>
  </si>
  <si>
    <t>Baltimore Gas &amp; Electric</t>
  </si>
  <si>
    <t>Bryan Sonnier</t>
  </si>
  <si>
    <t>Vikas Nigam</t>
  </si>
  <si>
    <t>21244,USA</t>
  </si>
  <si>
    <t>Maryland</t>
  </si>
  <si>
    <t>BC Hydro and Power Authority</t>
  </si>
  <si>
    <t>Sandesh Rawat</t>
  </si>
  <si>
    <t>V2C 5L1,Canada</t>
  </si>
  <si>
    <t>Premium</t>
  </si>
  <si>
    <t>92315,USA</t>
  </si>
  <si>
    <t>California</t>
  </si>
  <si>
    <t>v2.0</t>
  </si>
  <si>
    <t>Tomas Miller</t>
  </si>
  <si>
    <t>42419,USA</t>
  </si>
  <si>
    <t>Kentucky</t>
  </si>
  <si>
    <t>Yes - Annually</t>
  </si>
  <si>
    <t>29151,USA</t>
  </si>
  <si>
    <t>South Carolina</t>
  </si>
  <si>
    <t>Bluebonnet Electric Cooperative</t>
  </si>
  <si>
    <t>78602,USA</t>
  </si>
  <si>
    <t>Texas</t>
  </si>
  <si>
    <t>California Department of Transportation</t>
  </si>
  <si>
    <t>95814,USA</t>
  </si>
  <si>
    <t>CenterPoint Energy</t>
  </si>
  <si>
    <t>77210,USA</t>
  </si>
  <si>
    <t>22949,USA</t>
  </si>
  <si>
    <t>Virginia</t>
  </si>
  <si>
    <t>Cherryland Electric Cooperative</t>
  </si>
  <si>
    <t>49637,USA</t>
  </si>
  <si>
    <t>Michigan</t>
  </si>
  <si>
    <t>30344,USA</t>
  </si>
  <si>
    <t>Georgia</t>
  </si>
  <si>
    <t>27261,USA</t>
  </si>
  <si>
    <t>North Carolina</t>
  </si>
  <si>
    <t>City of Los Angeles</t>
  </si>
  <si>
    <t>90012,USA</t>
  </si>
  <si>
    <t>37830,USA</t>
  </si>
  <si>
    <t>Tennessee</t>
  </si>
  <si>
    <t>32301,USA</t>
  </si>
  <si>
    <t>Florida</t>
  </si>
  <si>
    <t>Claverack Rural Electric Cooperative</t>
  </si>
  <si>
    <t>v2.5.1</t>
  </si>
  <si>
    <t>18854,USA</t>
  </si>
  <si>
    <t>Pennsylvania</t>
  </si>
  <si>
    <t>32656,USA</t>
  </si>
  <si>
    <t>83501,USA</t>
  </si>
  <si>
    <t>Idaho</t>
  </si>
  <si>
    <t>Coleman County Electric Cooperative</t>
  </si>
  <si>
    <t>76834,USA</t>
  </si>
  <si>
    <t>Community Electric Cooperative</t>
  </si>
  <si>
    <t>23487,USA</t>
  </si>
  <si>
    <t>65081,USA</t>
  </si>
  <si>
    <t>Consumers Energy</t>
  </si>
  <si>
    <t>49201,USA</t>
  </si>
  <si>
    <t>87020,USA</t>
  </si>
  <si>
    <t>New Mexico</t>
  </si>
  <si>
    <t>Dairyland Power Cooperative</t>
  </si>
  <si>
    <t>Inspection module + wildfire risk at span level</t>
  </si>
  <si>
    <t>54602,USA</t>
  </si>
  <si>
    <t>23290,USA</t>
  </si>
  <si>
    <t>Bid Packet Support</t>
  </si>
  <si>
    <t>Douglas Electric Cooperative - OR</t>
  </si>
  <si>
    <t>97470,USA</t>
  </si>
  <si>
    <t>Oregon</t>
  </si>
  <si>
    <t>28202,USA</t>
  </si>
  <si>
    <t>40392,USA</t>
  </si>
  <si>
    <t>Edisto Electric Cooperative</t>
  </si>
  <si>
    <t>29003,USA</t>
  </si>
  <si>
    <t>12 1249-300,Portugal</t>
  </si>
  <si>
    <t>Portugal</t>
  </si>
  <si>
    <t>79960,USA</t>
  </si>
  <si>
    <t>Veg Density, LULC</t>
  </si>
  <si>
    <t>94304,USA</t>
  </si>
  <si>
    <t>Elia Group</t>
  </si>
  <si>
    <t>Morag Leopoldt</t>
  </si>
  <si>
    <t>Yes - One-time</t>
  </si>
  <si>
    <t>1000,Belgium</t>
  </si>
  <si>
    <t>Belgium</t>
  </si>
  <si>
    <t>Enbridge</t>
  </si>
  <si>
    <t>T2P 3L8,Canada</t>
  </si>
  <si>
    <t>Brazil</t>
  </si>
  <si>
    <t>EnergyUnited Electric Membership Corporation</t>
  </si>
  <si>
    <t>28625,USA</t>
  </si>
  <si>
    <t>34746,Turkey</t>
  </si>
  <si>
    <t>Turkey</t>
  </si>
  <si>
    <t>Entegrus</t>
  </si>
  <si>
    <t>N7M 5K2,Canada</t>
  </si>
  <si>
    <t>70119,USA</t>
  </si>
  <si>
    <t>Louisiana</t>
  </si>
  <si>
    <t>N9A 5T7,Canada</t>
  </si>
  <si>
    <t>37402,USA</t>
  </si>
  <si>
    <t>Equatorial Energia</t>
  </si>
  <si>
    <t>65071-680,Brazil</t>
  </si>
  <si>
    <t>Evergy</t>
  </si>
  <si>
    <t>Bradley Smith</t>
  </si>
  <si>
    <t>64120,USA</t>
  </si>
  <si>
    <t>Eversource Energy</t>
  </si>
  <si>
    <t>06103,USA</t>
  </si>
  <si>
    <t>Connecticut</t>
  </si>
  <si>
    <t>EWE AG</t>
  </si>
  <si>
    <t>26122,Germany</t>
  </si>
  <si>
    <t>Germany</t>
  </si>
  <si>
    <t>Farmers Electric Cooperative (TX)</t>
  </si>
  <si>
    <t>75403,USA</t>
  </si>
  <si>
    <t>78945,USA</t>
  </si>
  <si>
    <t>FirstEnergy</t>
  </si>
  <si>
    <t>44308,USA</t>
  </si>
  <si>
    <t>Ohio</t>
  </si>
  <si>
    <t>Florida Keys Electric Cooperative</t>
  </si>
  <si>
    <t>33070,USA</t>
  </si>
  <si>
    <t>Fortis British Columbia</t>
  </si>
  <si>
    <t>V6B 4E2,Canada</t>
  </si>
  <si>
    <t>28425,USA</t>
  </si>
  <si>
    <t>Yes</t>
  </si>
  <si>
    <t>30252,USA</t>
  </si>
  <si>
    <t>N1R 5X6,Canada</t>
  </si>
  <si>
    <t>Great Lakes Energy Cooperative</t>
  </si>
  <si>
    <t>49712,USA</t>
  </si>
  <si>
    <t>05446,USA</t>
  </si>
  <si>
    <t>Vermont</t>
  </si>
  <si>
    <t>75401,USA</t>
  </si>
  <si>
    <t>30133,USA</t>
  </si>
  <si>
    <t>27823,USA</t>
  </si>
  <si>
    <t>Hart Electric Membership Corporation</t>
  </si>
  <si>
    <t>30643,USA</t>
  </si>
  <si>
    <t>28785,USA</t>
  </si>
  <si>
    <t>Hendricks Power Cooperative</t>
  </si>
  <si>
    <t>46123,USA</t>
  </si>
  <si>
    <t>Indiana</t>
  </si>
  <si>
    <t>HILCO Electric Cooperative</t>
  </si>
  <si>
    <t>76055,USA</t>
  </si>
  <si>
    <t>Idaho Power</t>
  </si>
  <si>
    <t>83713,USA</t>
  </si>
  <si>
    <t>ITC Holdings</t>
  </si>
  <si>
    <t>Tamanash Biswas</t>
  </si>
  <si>
    <t>48377,USA</t>
  </si>
  <si>
    <t>Jackson County Rural Electric Membership Corporation</t>
  </si>
  <si>
    <t>47220,USA</t>
  </si>
  <si>
    <t>5,Jamaica</t>
  </si>
  <si>
    <t>Jamaica</t>
  </si>
  <si>
    <t>28546,USA</t>
  </si>
  <si>
    <t>Kauai Island Utility Cooperative</t>
  </si>
  <si>
    <t>96766,USA</t>
  </si>
  <si>
    <t>Hawaii</t>
  </si>
  <si>
    <t>87571,USA</t>
  </si>
  <si>
    <t>Yes - One-time (GRIP)</t>
  </si>
  <si>
    <t>98620,USA</t>
  </si>
  <si>
    <t>56572,USA</t>
  </si>
  <si>
    <t>Minnesota</t>
  </si>
  <si>
    <t>Lake Region Electric Cooperative, OK</t>
  </si>
  <si>
    <t>74464,USA</t>
  </si>
  <si>
    <t>Oklahoma</t>
  </si>
  <si>
    <t>Liberty Utilities (NH)</t>
  </si>
  <si>
    <t>60675,USA</t>
  </si>
  <si>
    <t>Illinois</t>
  </si>
  <si>
    <t>Little River Electric Cooperative</t>
  </si>
  <si>
    <t>29639,USA</t>
  </si>
  <si>
    <t>83110,USA</t>
  </si>
  <si>
    <t>Wyoming</t>
  </si>
  <si>
    <t>28372,USA</t>
  </si>
  <si>
    <t>C1A 7N2,Canada</t>
  </si>
  <si>
    <t>Matanuska Electric Association</t>
  </si>
  <si>
    <t>99645,USA</t>
  </si>
  <si>
    <t>Alaska</t>
  </si>
  <si>
    <t>Meade County Rural Electric Cooperative Corporation</t>
  </si>
  <si>
    <t>Trevor Stengel</t>
  </si>
  <si>
    <t>40108,USA</t>
  </si>
  <si>
    <t>Memphis Light, Gas and Water</t>
  </si>
  <si>
    <t>38145,USA</t>
  </si>
  <si>
    <t>Mid-Carolina Electric Cooperative</t>
  </si>
  <si>
    <t>29072,USA</t>
  </si>
  <si>
    <t>97739,USA</t>
  </si>
  <si>
    <t>Minnesota Power</t>
  </si>
  <si>
    <t>55806,USA</t>
  </si>
  <si>
    <t>31730,USA</t>
  </si>
  <si>
    <t>Mountain Parks Electric</t>
  </si>
  <si>
    <t>80446,USA</t>
  </si>
  <si>
    <t>Colorado</t>
  </si>
  <si>
    <t>02451,USA</t>
  </si>
  <si>
    <t>Massachusetts</t>
  </si>
  <si>
    <t>NB Power</t>
  </si>
  <si>
    <t>E3B 4X1,Canada</t>
  </si>
  <si>
    <t>Network Rail Limited</t>
  </si>
  <si>
    <t>SE1 8SW,UK</t>
  </si>
  <si>
    <t>UK</t>
  </si>
  <si>
    <t>Netze Baden-Württemberg GmbH</t>
  </si>
  <si>
    <t>70567,Germany</t>
  </si>
  <si>
    <t>New Smyrna Beach Utilities</t>
  </si>
  <si>
    <t>32170,USA</t>
  </si>
  <si>
    <t>Newfoundland Power</t>
  </si>
  <si>
    <t>A1B 3P6,Canada</t>
  </si>
  <si>
    <t>North Carolina Department of Transportation</t>
  </si>
  <si>
    <t>27699,USA</t>
  </si>
  <si>
    <t>30722,USA</t>
  </si>
  <si>
    <t>Northern Lights</t>
  </si>
  <si>
    <t>83860,USA</t>
  </si>
  <si>
    <t>NorthWestern Energy</t>
  </si>
  <si>
    <t>59707,USA</t>
  </si>
  <si>
    <t>Montana</t>
  </si>
  <si>
    <t>B3J 2V7,Canada</t>
  </si>
  <si>
    <t>Oconee Electric Membership Corporation</t>
  </si>
  <si>
    <t>31022,USA</t>
  </si>
  <si>
    <t>68102,USA</t>
  </si>
  <si>
    <t>Nebraska</t>
  </si>
  <si>
    <t>97814,USA</t>
  </si>
  <si>
    <t>8053,New Zealand</t>
  </si>
  <si>
    <t>New Zealand</t>
  </si>
  <si>
    <t>Otero County Electric Cooperative</t>
  </si>
  <si>
    <t>88317,USA</t>
  </si>
  <si>
    <t>Otter Tail Power Company</t>
  </si>
  <si>
    <t>56537,USA</t>
  </si>
  <si>
    <t>55060,USA</t>
  </si>
  <si>
    <t>94105,USA</t>
  </si>
  <si>
    <t>Paris Board of Public Utilities</t>
  </si>
  <si>
    <t>38242,USA</t>
  </si>
  <si>
    <t>PECO Energy Company</t>
  </si>
  <si>
    <t>19103,USA</t>
  </si>
  <si>
    <t>Pee Dee Electric</t>
  </si>
  <si>
    <t>28091,USA</t>
  </si>
  <si>
    <t>Pennyrile Rural Electric Cooperative Corporation</t>
  </si>
  <si>
    <t>42240,USA</t>
  </si>
  <si>
    <t>People's Electric Cooperative</t>
  </si>
  <si>
    <t>74820,USA</t>
  </si>
  <si>
    <t>PHI - Exelon</t>
  </si>
  <si>
    <t>60680,USA</t>
  </si>
  <si>
    <t>Powder River Energy Corporation</t>
  </si>
  <si>
    <t>82718,USA</t>
  </si>
  <si>
    <t>4340,New Zealand</t>
  </si>
  <si>
    <t>Powerlink Queensland</t>
  </si>
  <si>
    <t>4014,Australia</t>
  </si>
  <si>
    <t>PSEG Long Island</t>
  </si>
  <si>
    <t>11801,USA</t>
  </si>
  <si>
    <t>New York</t>
  </si>
  <si>
    <t>87107,USA</t>
  </si>
  <si>
    <t>CT is not a standard module they need</t>
  </si>
  <si>
    <t>98009,USA</t>
  </si>
  <si>
    <t>27205,USA</t>
  </si>
  <si>
    <t>61068,USA</t>
  </si>
  <si>
    <t>Rusk County Electric Cooperative</t>
  </si>
  <si>
    <t>75652,USA</t>
  </si>
  <si>
    <t>Sacramento Municipal Utility District</t>
  </si>
  <si>
    <t>95817,USA</t>
  </si>
  <si>
    <t>Salt River Electric Cooperative Corporation</t>
  </si>
  <si>
    <t>40004,USA</t>
  </si>
  <si>
    <t>Seattle City Light</t>
  </si>
  <si>
    <t>35177,USA</t>
  </si>
  <si>
    <t>Seminole Electric Cooperative</t>
  </si>
  <si>
    <t>33618,USA</t>
  </si>
  <si>
    <t>Shenandoah Valley Electric Cooperative</t>
  </si>
  <si>
    <t>22602,USA</t>
  </si>
  <si>
    <t>28335,USA</t>
  </si>
  <si>
    <t>Southern California Edison</t>
  </si>
  <si>
    <t>Tree Level - Species, Health, Clearance</t>
  </si>
  <si>
    <t>92683,USA</t>
  </si>
  <si>
    <t>Summit Utilities</t>
  </si>
  <si>
    <t>80027,USA</t>
  </si>
  <si>
    <t>33585,USA</t>
  </si>
  <si>
    <t>59436,USA</t>
  </si>
  <si>
    <t>Surry-Yadkin Electric Member Corporation</t>
  </si>
  <si>
    <t>28263,USA</t>
  </si>
  <si>
    <t>32064,USA</t>
  </si>
  <si>
    <t>Tata Power</t>
  </si>
  <si>
    <t>400 001,India</t>
  </si>
  <si>
    <t>India</t>
  </si>
  <si>
    <t>M5W 4H3,Canada</t>
  </si>
  <si>
    <t>29135,USA</t>
  </si>
  <si>
    <t>16933,USA</t>
  </si>
  <si>
    <t>96093,USA</t>
  </si>
  <si>
    <t>75142,USA</t>
  </si>
  <si>
    <t>Tri-State Generation &amp; Transmission Association</t>
  </si>
  <si>
    <t>80233,USA</t>
  </si>
  <si>
    <t>SE1 6NP,UK</t>
  </si>
  <si>
    <t>Union Power Cooperative</t>
  </si>
  <si>
    <t>28110,USA</t>
  </si>
  <si>
    <t>80217,USA</t>
  </si>
  <si>
    <t>Upper Peninsula Power Company</t>
  </si>
  <si>
    <t>50037,USA</t>
  </si>
  <si>
    <t>Iowa</t>
  </si>
  <si>
    <t>Vermont Electric Cooperative</t>
  </si>
  <si>
    <t>05656,USA</t>
  </si>
  <si>
    <t>Visayan Electric Company</t>
  </si>
  <si>
    <t>6000,Philippines</t>
  </si>
  <si>
    <t>Philippines</t>
  </si>
  <si>
    <t>27588,USA</t>
  </si>
  <si>
    <t>05651,USA</t>
  </si>
  <si>
    <t>P7J 1H9,Canada</t>
  </si>
  <si>
    <t>Wood County Electric Cooperative</t>
  </si>
  <si>
    <t>75783,USA</t>
  </si>
  <si>
    <t>55401,USA</t>
  </si>
  <si>
    <t>New RDD Month</t>
  </si>
  <si>
    <t>PWARR</t>
  </si>
  <si>
    <t>Contract End Date</t>
  </si>
  <si>
    <t>Conversion Status</t>
  </si>
  <si>
    <t>Thiago Carvalho</t>
  </si>
  <si>
    <t>Converted</t>
  </si>
  <si>
    <t>Wildfire Risk, Storm Risk</t>
  </si>
  <si>
    <t>Segment</t>
  </si>
  <si>
    <t>L6J 2X1,Canada</t>
  </si>
  <si>
    <t>Contracting</t>
  </si>
  <si>
    <t>Polygon Level</t>
  </si>
  <si>
    <t>85283,USA</t>
  </si>
  <si>
    <t>Arizona</t>
  </si>
  <si>
    <t>v2.3.8</t>
  </si>
  <si>
    <t>Abhishek Singh</t>
  </si>
  <si>
    <t>Span</t>
  </si>
  <si>
    <t>WU, Should Cost</t>
  </si>
  <si>
    <t>v3.0</t>
  </si>
  <si>
    <t>198,Spain</t>
  </si>
  <si>
    <t>Spain</t>
  </si>
  <si>
    <t>David Wolpa</t>
  </si>
  <si>
    <t>VD, LULC, Should Cost</t>
  </si>
  <si>
    <t>90069,Canada</t>
  </si>
  <si>
    <t>v2.6.0</t>
  </si>
  <si>
    <t>WildFire Risk, CRIS</t>
  </si>
  <si>
    <t>89511,USA</t>
  </si>
  <si>
    <t>Nevada</t>
  </si>
  <si>
    <t>07102,USA</t>
  </si>
  <si>
    <t>New Jersey</t>
  </si>
  <si>
    <t>Shawn Niebler</t>
  </si>
  <si>
    <t>43130,USA</t>
  </si>
  <si>
    <t>39701,USA</t>
  </si>
  <si>
    <t>Mississippi</t>
  </si>
  <si>
    <t>American Electric Power</t>
  </si>
  <si>
    <t>43215,USA</t>
  </si>
  <si>
    <t>WMP</t>
  </si>
  <si>
    <t>Daniel Dickman</t>
  </si>
  <si>
    <t>Conversion WIP</t>
  </si>
  <si>
    <t>DELSUR</t>
  </si>
  <si>
    <t>El Salvador</t>
  </si>
  <si>
    <t>Zach Precious</t>
  </si>
  <si>
    <t>Oil and Gas Pipeline Custom Analysis/Delivery</t>
  </si>
  <si>
    <t>1040,Belgium</t>
  </si>
  <si>
    <t>37246,USA</t>
  </si>
  <si>
    <t>72704,USA</t>
  </si>
  <si>
    <t>Southwestern Electric Power</t>
  </si>
  <si>
    <t>37615,USA</t>
  </si>
  <si>
    <t>a. Reliability vs. Budget Optimizer b. ‘Should Cost’ Estimation c. Advanced Bid Packet Support Creation.</t>
  </si>
  <si>
    <t>76201,USA</t>
  </si>
  <si>
    <t>Encroachment ANot Soldlysis, Inspection ANot Soldlysis for Transmission</t>
  </si>
  <si>
    <t>T2G 4S7,Canada</t>
  </si>
  <si>
    <t>75418,USA</t>
  </si>
  <si>
    <t>Guadalupe Valley Electric Cooperative</t>
  </si>
  <si>
    <t>77962,USA</t>
  </si>
  <si>
    <t>Chas Shafer</t>
  </si>
  <si>
    <t>Lakeland Electric</t>
  </si>
  <si>
    <t>Sarah Caszatt</t>
  </si>
  <si>
    <t>Mahesh Bukka</t>
  </si>
  <si>
    <t>Nigel Alley</t>
  </si>
  <si>
    <t>To share the aerial imagery used in the analysis</t>
  </si>
  <si>
    <t>98332,USA</t>
  </si>
  <si>
    <t>81432,USA</t>
  </si>
  <si>
    <t>14228,USA</t>
  </si>
  <si>
    <t>95381,USA</t>
  </si>
  <si>
    <t>Inspection Module</t>
  </si>
  <si>
    <t>None</t>
  </si>
  <si>
    <t>76234,USA</t>
  </si>
  <si>
    <t>Houston County Electric Cooperative</t>
  </si>
  <si>
    <t>75835,USA</t>
  </si>
  <si>
    <t>73945,USA</t>
  </si>
  <si>
    <t>Nicolas Cavallo</t>
  </si>
  <si>
    <t>BKV Corporation</t>
  </si>
  <si>
    <t>80201,USA</t>
  </si>
  <si>
    <t>Max Traeger</t>
  </si>
  <si>
    <t>ESB Networks</t>
  </si>
  <si>
    <t>Ireland</t>
  </si>
  <si>
    <t>National Grid Electricity Distribution</t>
  </si>
  <si>
    <t>WC2N 5EH,UK</t>
  </si>
  <si>
    <t>Utilities District of Western Indiana REMC</t>
  </si>
  <si>
    <t>Jason Guy</t>
  </si>
  <si>
    <t>Dx/Tx</t>
  </si>
  <si>
    <t>Non-Standard Data</t>
  </si>
  <si>
    <t>Non-Standard Metric</t>
  </si>
  <si>
    <t>IVMS Configuration</t>
  </si>
  <si>
    <t>Dx</t>
  </si>
  <si>
    <t>High</t>
  </si>
  <si>
    <t>Tx</t>
  </si>
  <si>
    <t>Medium</t>
  </si>
  <si>
    <t>Low</t>
  </si>
  <si>
    <t>Delivery Month</t>
  </si>
  <si>
    <t>Dx/Tx Multiplier</t>
  </si>
  <si>
    <t>Non-Standard Data Multiplier</t>
  </si>
  <si>
    <t>Non-Standard Metric Multiplier</t>
  </si>
  <si>
    <t>IVMS Configuration Multiplier</t>
  </si>
  <si>
    <t>Analytics Start Date</t>
  </si>
  <si>
    <t>Project Status</t>
  </si>
  <si>
    <t>v2.6</t>
  </si>
  <si>
    <t>Meryl Gibbs</t>
  </si>
  <si>
    <t>Inactive</t>
  </si>
  <si>
    <t>Unknown</t>
  </si>
  <si>
    <t>v3.1</t>
  </si>
  <si>
    <t>Beauregard Electric Cooperative</t>
  </si>
  <si>
    <t>Shravani Eleswarapu</t>
  </si>
  <si>
    <t>v1.3</t>
  </si>
  <si>
    <t>v2.5.0</t>
  </si>
  <si>
    <t>v2.4.8</t>
  </si>
  <si>
    <t>Georgia Transmission Corporation</t>
  </si>
  <si>
    <t>Should cost, Reliability vs Budget Optimizer, Wildfire</t>
  </si>
  <si>
    <t>HTM</t>
  </si>
  <si>
    <t>Huntsville Utilities</t>
  </si>
  <si>
    <t>Joe Wheeler Electric Membership Corporation</t>
  </si>
  <si>
    <t>Mississippi Power Company</t>
  </si>
  <si>
    <t>NextEra Energy Transmission</t>
  </si>
  <si>
    <t>33408,USA</t>
  </si>
  <si>
    <t>North Georgia Electric Membership Corporation</t>
  </si>
  <si>
    <t>Should Cost, HTM</t>
  </si>
  <si>
    <t>Should Cost, Bid Packet, Budget &amp; Reliability Optimiser</t>
  </si>
  <si>
    <t>Should cost, Reliability Optimizer, Wildfire</t>
  </si>
  <si>
    <t>Should Cost, Work Unit, Wildfire, DSAF</t>
  </si>
  <si>
    <t>[2026 SaaS Y2] Adams-Columbia Electric Coop</t>
  </si>
  <si>
    <t>[2026 [SaaS Y3] Alabama Power - Dx</t>
  </si>
  <si>
    <t>[2026 [SaaS Y3] Alabama Power - SubTx</t>
  </si>
  <si>
    <t>[2025 SaaS Y1] Arizona Public Service</t>
  </si>
  <si>
    <t>[2026 SaaS Y4] Arkansas Valley</t>
  </si>
  <si>
    <t>[2026 SaaS Y6] Avista</t>
  </si>
  <si>
    <t>[2026 [SaaS Y4] Bear Valley</t>
  </si>
  <si>
    <t>[2026 SaaS Y1] Beauregard Electric Cooperative</t>
  </si>
  <si>
    <t>[2026 SaaS Y3] Big River (Tx)</t>
  </si>
  <si>
    <t>[2026 SaaS Y5] Black River Electric Cooperative</t>
  </si>
  <si>
    <t>[2026 SaaS Y2] BrightRidge Public Power</t>
  </si>
  <si>
    <t>[2026 SaaS Y2] Central Virginia Electric</t>
  </si>
  <si>
    <t>[2026 SaaS Y2] City of Denton</t>
  </si>
  <si>
    <t>[2026 SaaS Y3] City of East Point</t>
  </si>
  <si>
    <t>[2026 SaaS Y3] City of High Point</t>
  </si>
  <si>
    <t>[2026 SaaS Y1] City of Lake Worth Beach</t>
  </si>
  <si>
    <t>[2026 SaaS Y2] City of Oak Ridge</t>
  </si>
  <si>
    <t>[2026 SaaS Y2] City of Tallahassee, Florida</t>
  </si>
  <si>
    <t>[2026 SaaS Y3] Clearwater Power</t>
  </si>
  <si>
    <t>[2026 SaaS Y2] CoMo Electric</t>
  </si>
  <si>
    <t>[2026 SaaS Y1] Continental Divide Electric</t>
  </si>
  <si>
    <t>[2026 SaaS Y2] Dominion Energy</t>
  </si>
  <si>
    <t>[2026 SaaS Y4] Duke Energy</t>
  </si>
  <si>
    <t>[2026 SaaS Y5] EKPC IVMS/IEMS</t>
  </si>
  <si>
    <t>[2026 SaaS Y3] El Paso Electric</t>
  </si>
  <si>
    <t>[2026 SaaS Y2] Enel Spain</t>
  </si>
  <si>
    <t>[2026 SaaS Y8] Entergy</t>
  </si>
  <si>
    <t>[2026 SaaS Y3] EPB of Chattanooga</t>
  </si>
  <si>
    <t>[2026 SaaS Y1] ESB</t>
  </si>
  <si>
    <t>[2026 SaaS Y2] Fannin County Electric Cooperative</t>
  </si>
  <si>
    <t>[2026 SaaS Y2] Fayette Electric Co-op</t>
  </si>
  <si>
    <t>[2026 SaaS Y4] Four County</t>
  </si>
  <si>
    <t>[2026 SaaS Y2] Georgia Power</t>
  </si>
  <si>
    <t>[2026 SaaS Y1] GrandBridge Energy</t>
  </si>
  <si>
    <t>[2026 SaaS Y3] Green Mountain Power</t>
  </si>
  <si>
    <t>[2026 Saas Y2] Greenville Electric Utility</t>
  </si>
  <si>
    <t>[2026 SaaS Y1] Greenville Utilities Commission</t>
  </si>
  <si>
    <t>[2026 SaaS Y1] Guadalupe Valley</t>
  </si>
  <si>
    <t>[2026 SaaS Y2] Halifax EMC</t>
  </si>
  <si>
    <t>[2026 SaaS Y3] Haywood EMC</t>
  </si>
  <si>
    <t>[2026 SaaS Y1] HuntsVille</t>
  </si>
  <si>
    <t>[2026 SaaS Y2] Jackson Electric Cooperative</t>
  </si>
  <si>
    <t>[2026 SaaS Y3] Jamaica Public Services Company</t>
  </si>
  <si>
    <t>[2026 SaaS Y5] Jones Onslow</t>
  </si>
  <si>
    <t>[2026 SaaS Y3] Kit Carson</t>
  </si>
  <si>
    <t>[2026 SaaS Y6] KPUD</t>
  </si>
  <si>
    <t>[2026 SaaS Y5] Lake Region - MN</t>
  </si>
  <si>
    <t>[2026 SaaS Y1] Lakeland Electric- Tasking</t>
  </si>
  <si>
    <t>[2026 Pilot Y1] London Hydro</t>
  </si>
  <si>
    <t>[2026 SaaS Y4] Lower Valley</t>
  </si>
  <si>
    <t>[2026 SaaS Y4] Lumbee River</t>
  </si>
  <si>
    <t>[2026 SaaS Y2] Maritime Electric</t>
  </si>
  <si>
    <t>[2026 SaaS Y2] Midstate Electric</t>
  </si>
  <si>
    <t>[2026 SaaS Y1] Mississippi Power</t>
  </si>
  <si>
    <t>[2026 Pilot] NG UK</t>
  </si>
  <si>
    <t>[2027 SaaS Y7] NG MA</t>
  </si>
  <si>
    <t>[2026 SaaS Y5] NGEMC</t>
  </si>
  <si>
    <t>[2026 SaaS Y3] Nova Scotia Power</t>
  </si>
  <si>
    <t>[2026 SaaS Y5] OPPD</t>
  </si>
  <si>
    <t>[2026 SaaS Y2] Owatonna Public Utilities</t>
  </si>
  <si>
    <t>[2026 [SaaS Y1] Ozark's Electric</t>
  </si>
  <si>
    <t>[2026 SaaS Y2] Peninsula Light Company</t>
  </si>
  <si>
    <t>[2026 SaaS Y2] PowerCo New Zealand</t>
  </si>
  <si>
    <t>[2026 SaaS Y3] PNM</t>
  </si>
  <si>
    <t>[2026 SaaS Y2] Puget Sound Energy</t>
  </si>
  <si>
    <t>[2026 SaaS Y6] REMC</t>
  </si>
  <si>
    <t>[2026 SaaS Y2] Rochelle Municipal Utilities</t>
  </si>
  <si>
    <t>[2026 SaaS Y1] San Miguel EPA</t>
  </si>
  <si>
    <t>[2026 [SaaS Y2] South Central Power</t>
  </si>
  <si>
    <t>[2026 SaaS Y5] South River</t>
  </si>
  <si>
    <t>[2026 SaaS Y1] Southwestern Power Electric (SWEPCO)</t>
  </si>
  <si>
    <t>[2026 SaaS Y2] Sun River</t>
  </si>
  <si>
    <t>[2026 SaaS Y5] Suwannee Valley</t>
  </si>
  <si>
    <t>[2026 [SaaS Y2] The Energy Co</t>
  </si>
  <si>
    <t>[2026 SaaS Y3] Toronto Hydro</t>
  </si>
  <si>
    <t>[2026] Tri-County Electric Cooperative (OK)</t>
  </si>
  <si>
    <t>[2026 SaaS Y4] TriCounty SC</t>
  </si>
  <si>
    <t>[2026 SaaS Y4] Tri County REC - PA</t>
  </si>
  <si>
    <t>[2026 Y5 SaaS] TPUD Dx</t>
  </si>
  <si>
    <t>[2026 SaaS Y5] Trinity Valley Electric Cooperative</t>
  </si>
  <si>
    <t>[2026 SaaS Y1] UKPN</t>
  </si>
  <si>
    <t>[2026 SaaS Y3 ] Washington Electric Coop</t>
  </si>
  <si>
    <t>Boston Consulting Group</t>
  </si>
  <si>
    <t>Satyam Kumar</t>
  </si>
  <si>
    <t>Vithika Agrawal</t>
  </si>
  <si>
    <t/>
  </si>
  <si>
    <t>Discovery, Original Shapefile Ingestion App Go-Live &amp; Data QC</t>
  </si>
  <si>
    <t>[2026 [Pilot Y1 ] Hawaiian Electric</t>
  </si>
  <si>
    <t>[2026 SaaS Y5] Xcel Energy Phase 1</t>
  </si>
  <si>
    <t>[2026 SaaS Y5] Xcel Energy Phase 2</t>
  </si>
  <si>
    <t>[2026 SaaS Y1] Upshur Rural Electric Cooperative Corporation</t>
  </si>
  <si>
    <t>[2026 SaaS Y2] Dairyland</t>
  </si>
  <si>
    <t xml:space="preserve"> [2026 SaaS Y1] UDWI REMC</t>
  </si>
  <si>
    <t>[2026 SaaS Y2] Wise Electric Cooperative</t>
  </si>
  <si>
    <t>[2026 SaaS Y1] Georgia Transmission Corporation</t>
  </si>
  <si>
    <t>[2026 Pilot] Jackson Purchase Energy</t>
  </si>
  <si>
    <t>[2025 [SaaS Y1] Peninsula Light Company</t>
  </si>
  <si>
    <t>[2025 SaaS Y1] Delsur</t>
  </si>
  <si>
    <t>[2025 SaaS Y1] Jackson Electric Cooperative</t>
  </si>
  <si>
    <t>[2025 [SaaS Y1] South Central - Tasking</t>
  </si>
  <si>
    <t>[2025 SaaS Y1] Turlock Irrigation District</t>
  </si>
  <si>
    <t>[2025 SaaS Y1] City of Denton</t>
  </si>
  <si>
    <t>[2025 SaaS Y1] Fannin County Electric Cooperative</t>
  </si>
  <si>
    <t>[2025 SaaS Y1] Public Service Electric &amp; Gas</t>
  </si>
  <si>
    <t>[2025 SaaS Y1] The Energy Co</t>
  </si>
  <si>
    <t>[2026 SaaS Y1] Lakeland Electric</t>
  </si>
  <si>
    <t>[2025 [SaaS Y1] Orlando Utilities Commission</t>
  </si>
  <si>
    <t>[2027 SaaS Y3] PowerCo New Zealand</t>
  </si>
  <si>
    <t>Upshur Rural Electric Cooperative Corporation</t>
  </si>
  <si>
    <t>Julia  Hussey</t>
  </si>
  <si>
    <t>Jackson Purchase Energy</t>
  </si>
  <si>
    <t>[2026 SaaS Y2] Enel Brazil Phase 1</t>
  </si>
  <si>
    <t>[2026 SaaS Y2] Enel Brazil Phase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</si>
</sst>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yyyy\-mm\-dd;@"/>
    <numFmt numFmtId="165" formatCode="[$-409]mmm\-yy;@"/>
    <numFmt numFmtId="166" formatCode="[$-409]mmmm\ d\,\ yyyy;@"/>
    <numFmt numFmtId="167" formatCode="_(* #,##0_);_(* \(#,##0\);_(* &quot;-&quot;??_);_(@_)"/>
  </numFmts>
  <fonts count="20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rial"/>
      <family val="2"/>
    </font>
    <font>
      <b/>
      <sz val="12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44B3E1"/>
      </top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wrapText="1"/>
    </xf>
    <xf numFmtId="14" fontId="0" fillId="0" borderId="0" xfId="0" applyNumberFormat="1"/>
    <xf numFmtId="1" fontId="0" fillId="0" borderId="0" xfId="0" applyNumberFormat="1"/>
    <xf numFmtId="2" fontId="4" fillId="0" borderId="0" xfId="0" applyNumberFormat="1" applyFont="1" applyAlignment="1">
      <alignment wrapText="1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64" fontId="2" fillId="4" borderId="0" xfId="0" applyNumberFormat="1" applyFont="1" applyFill="1" applyAlignment="1">
      <alignment horizontal="center" wrapText="1"/>
    </xf>
    <xf numFmtId="2" fontId="2" fillId="4" borderId="0" xfId="0" applyNumberFormat="1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1" fontId="2" fillId="4" borderId="0" xfId="0" applyNumberFormat="1" applyFont="1" applyFill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165" fontId="2" fillId="4" borderId="0" xfId="0" applyNumberFormat="1" applyFont="1" applyFill="1" applyAlignment="1">
      <alignment horizontal="center" wrapText="1"/>
    </xf>
    <xf numFmtId="165" fontId="4" fillId="0" borderId="0" xfId="0" applyNumberFormat="1" applyFont="1" applyAlignment="1">
      <alignment wrapText="1"/>
    </xf>
    <xf numFmtId="165" fontId="0" fillId="0" borderId="0" xfId="0" applyNumberFormat="1" applyAlignment="1">
      <alignment wrapText="1"/>
    </xf>
    <xf numFmtId="0" fontId="7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8" fillId="0" borderId="0" xfId="0" applyFont="1"/>
    <xf numFmtId="1" fontId="8" fillId="0" borderId="0" xfId="0" applyNumberFormat="1" applyFont="1"/>
    <xf numFmtId="0" fontId="10" fillId="5" borderId="12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0" borderId="12" xfId="0" applyFont="1" applyBorder="1"/>
    <xf numFmtId="0" fontId="1" fillId="0" borderId="12" xfId="0" applyFont="1" applyBorder="1"/>
    <xf numFmtId="0" fontId="1" fillId="6" borderId="12" xfId="0" applyFont="1" applyFill="1" applyBorder="1"/>
    <xf numFmtId="0" fontId="1" fillId="0" borderId="13" xfId="0" applyFont="1" applyBorder="1"/>
    <xf numFmtId="165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12" fillId="0" borderId="0" xfId="0" applyFont="1"/>
    <xf numFmtId="0" fontId="13" fillId="0" borderId="0" xfId="0" applyFont="1"/>
    <xf numFmtId="0" fontId="13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4" fillId="0" borderId="0" xfId="0" applyFont="1"/>
    <xf numFmtId="22" fontId="0" fillId="0" borderId="0" xfId="0" applyNumberFormat="1"/>
    <xf numFmtId="0" fontId="15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6" fontId="0" fillId="0" borderId="0" xfId="0" applyNumberFormat="1"/>
    <xf numFmtId="0" fontId="16" fillId="0" borderId="14" xfId="0" applyFont="1" applyBorder="1" applyAlignment="1">
      <alignment horizontal="center" wrapText="1"/>
    </xf>
    <xf numFmtId="0" fontId="1" fillId="7" borderId="0" xfId="0" applyFont="1" applyFill="1"/>
    <xf numFmtId="0" fontId="1" fillId="7" borderId="7" xfId="0" applyFont="1" applyFill="1" applyBorder="1"/>
    <xf numFmtId="0" fontId="1" fillId="7" borderId="8" xfId="0" applyFont="1" applyFill="1" applyBorder="1"/>
    <xf numFmtId="0" fontId="0" fillId="9" borderId="0" xfId="0" applyFill="1"/>
    <xf numFmtId="167" fontId="17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18" fillId="0" borderId="0" xfId="0" applyFont="1"/>
    <xf numFmtId="166" fontId="17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166" fontId="15" fillId="8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vertical="center"/>
    </xf>
    <xf numFmtId="0" fontId="1" fillId="10" borderId="0" xfId="0" applyFont="1" applyFill="1"/>
    <xf numFmtId="0" fontId="19" fillId="11" borderId="0" xfId="0" applyFont="1" applyFill="1" applyAlignment="1">
      <alignment horizontal="left" vertical="center"/>
    </xf>
    <xf numFmtId="14" fontId="6" fillId="0" borderId="0" xfId="0" applyNumberFormat="1" applyFont="1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DA39FF-8EC1-3C40-964A-681CC735A179}">
  <we:reference id="wa200000556" version="1.1.0.0" store="en-US" storeType="OMEX"/>
  <we:alternateReferences>
    <we:reference id="WA200000556" version="1.1.0.0" store="" storeType="OMEX"/>
  </we:alternateReferences>
  <we:properties>
    <we:property name="Office.AutoShowTaskpaneWithDocument" value="true"/>
    <we:property name="documentId" value="&quot;670b33c3-ac1c-4413-af87-e4868fff70e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54CDA-D912-6D41-947C-6869FE4DB0A2}">
  <dimension ref="A1:AS95"/>
  <sheetViews>
    <sheetView zoomScale="133" zoomScaleNormal="130" workbookViewId="0">
      <pane xSplit="1" ySplit="1" topLeftCell="P2" activePane="bottomRight" state="frozen"/>
      <selection pane="topRight"/>
      <selection pane="bottomLeft"/>
      <selection pane="bottomRight" activeCell="O7" sqref="O7"/>
    </sheetView>
  </sheetViews>
  <sheetFormatPr baseColWidth="10" defaultColWidth="11" defaultRowHeight="16" x14ac:dyDescent="0.2"/>
  <cols>
    <col min="1" max="1" width="20.6640625" bestFit="1" customWidth="1"/>
    <col min="2" max="2" width="45.83203125" bestFit="1" customWidth="1"/>
    <col min="3" max="3" width="8.1640625" bestFit="1" customWidth="1"/>
    <col min="4" max="10" width="20.5" customWidth="1"/>
    <col min="11" max="11" width="15.1640625" bestFit="1" customWidth="1"/>
    <col min="16" max="16" width="14.33203125" bestFit="1" customWidth="1"/>
    <col min="17" max="17" width="14.33203125" customWidth="1"/>
    <col min="18" max="18" width="10.5" bestFit="1" customWidth="1"/>
    <col min="19" max="19" width="14.5" bestFit="1" customWidth="1"/>
    <col min="20" max="21" width="13.5" bestFit="1" customWidth="1"/>
    <col min="22" max="22" width="14.5" bestFit="1" customWidth="1"/>
    <col min="26" max="26" width="2.33203125" bestFit="1" customWidth="1"/>
    <col min="37" max="37" width="9" bestFit="1" customWidth="1"/>
    <col min="38" max="38" width="5.6640625" bestFit="1" customWidth="1"/>
    <col min="39" max="39" width="9" bestFit="1" customWidth="1"/>
    <col min="40" max="40" width="17" bestFit="1" customWidth="1"/>
    <col min="41" max="41" width="9" bestFit="1" customWidth="1"/>
    <col min="42" max="42" width="18.33203125" bestFit="1" customWidth="1"/>
    <col min="44" max="44" width="17.1640625" bestFit="1" customWidth="1"/>
  </cols>
  <sheetData>
    <row r="1" spans="1:45" s="3" customFormat="1" ht="35" thickBot="1" x14ac:dyDescent="0.25">
      <c r="A1" s="54" t="s">
        <v>125</v>
      </c>
      <c r="B1" s="55" t="s">
        <v>126</v>
      </c>
      <c r="C1" s="56" t="s">
        <v>112</v>
      </c>
      <c r="D1" s="54" t="s">
        <v>127</v>
      </c>
      <c r="E1" s="57" t="s">
        <v>128</v>
      </c>
      <c r="F1" s="57" t="s">
        <v>129</v>
      </c>
      <c r="G1" s="57" t="s">
        <v>130</v>
      </c>
      <c r="H1" s="57" t="s">
        <v>131</v>
      </c>
      <c r="I1" s="57" t="s">
        <v>132</v>
      </c>
      <c r="J1" s="56" t="s">
        <v>133</v>
      </c>
      <c r="N1" s="3" t="s">
        <v>120</v>
      </c>
      <c r="O1" s="3" t="s">
        <v>112</v>
      </c>
      <c r="P1" s="57" t="s">
        <v>127</v>
      </c>
      <c r="Q1" s="57" t="s">
        <v>128</v>
      </c>
      <c r="R1" s="57" t="s">
        <v>129</v>
      </c>
      <c r="S1" s="57" t="s">
        <v>130</v>
      </c>
      <c r="T1" s="57" t="s">
        <v>131</v>
      </c>
      <c r="U1" s="56" t="s">
        <v>132</v>
      </c>
      <c r="V1" s="56" t="s">
        <v>133</v>
      </c>
    </row>
    <row r="2" spans="1:45" x14ac:dyDescent="0.2">
      <c r="A2" s="7" t="s">
        <v>20</v>
      </c>
      <c r="B2" s="27" t="s">
        <v>134</v>
      </c>
      <c r="C2" s="22" t="s">
        <v>113</v>
      </c>
      <c r="D2" s="7">
        <v>10</v>
      </c>
      <c r="E2" s="1">
        <v>10</v>
      </c>
      <c r="F2" s="1">
        <v>2</v>
      </c>
      <c r="G2" s="1">
        <v>0</v>
      </c>
      <c r="H2" s="1">
        <v>0</v>
      </c>
      <c r="I2" s="1">
        <v>0</v>
      </c>
      <c r="J2" s="8">
        <v>0</v>
      </c>
      <c r="K2" t="s">
        <v>135</v>
      </c>
      <c r="L2" t="s">
        <v>136</v>
      </c>
      <c r="N2" t="s">
        <v>23</v>
      </c>
      <c r="O2" t="s">
        <v>113</v>
      </c>
      <c r="P2">
        <f t="shared" ref="P2:V9" si="0">SUMIFS(D$2:D$91,$A$2:$A$91,$N2,$C$2:$C$91,$O2)</f>
        <v>10</v>
      </c>
      <c r="Q2">
        <f t="shared" si="0"/>
        <v>10</v>
      </c>
      <c r="R2">
        <f t="shared" si="0"/>
        <v>10</v>
      </c>
      <c r="S2">
        <f t="shared" si="0"/>
        <v>50</v>
      </c>
      <c r="T2">
        <f t="shared" si="0"/>
        <v>28</v>
      </c>
      <c r="U2">
        <f t="shared" si="0"/>
        <v>8</v>
      </c>
      <c r="V2">
        <f t="shared" si="0"/>
        <v>8</v>
      </c>
      <c r="X2" s="43" t="s">
        <v>137</v>
      </c>
      <c r="Y2" s="43"/>
      <c r="Z2" s="44"/>
      <c r="AA2" s="44"/>
      <c r="AB2" s="44"/>
      <c r="AC2" s="44"/>
      <c r="AE2" s="45"/>
      <c r="AF2" s="46" t="s">
        <v>138</v>
      </c>
      <c r="AG2" s="46" t="s">
        <v>139</v>
      </c>
      <c r="AH2" s="46" t="s">
        <v>140</v>
      </c>
      <c r="AJ2" s="53" t="s">
        <v>121</v>
      </c>
      <c r="AK2" s="53" t="s">
        <v>136</v>
      </c>
      <c r="AL2" s="53" t="s">
        <v>677</v>
      </c>
      <c r="AM2" s="53" t="s">
        <v>136</v>
      </c>
      <c r="AN2" s="53" t="s">
        <v>678</v>
      </c>
      <c r="AO2" s="53" t="s">
        <v>136</v>
      </c>
      <c r="AP2" s="53" t="s">
        <v>679</v>
      </c>
      <c r="AQ2" s="53" t="s">
        <v>136</v>
      </c>
      <c r="AR2" s="53" t="s">
        <v>680</v>
      </c>
      <c r="AS2" s="53" t="s">
        <v>136</v>
      </c>
    </row>
    <row r="3" spans="1:45" x14ac:dyDescent="0.2">
      <c r="A3" s="7" t="s">
        <v>20</v>
      </c>
      <c r="B3" s="27" t="s">
        <v>141</v>
      </c>
      <c r="C3" s="8" t="s">
        <v>113</v>
      </c>
      <c r="D3" s="7">
        <v>5</v>
      </c>
      <c r="E3" s="1">
        <v>5</v>
      </c>
      <c r="F3" s="1">
        <v>5</v>
      </c>
      <c r="G3" s="1">
        <v>0</v>
      </c>
      <c r="H3" s="1">
        <v>0</v>
      </c>
      <c r="I3" s="1">
        <v>0</v>
      </c>
      <c r="J3" s="8">
        <v>0</v>
      </c>
      <c r="K3" s="2">
        <v>1000</v>
      </c>
      <c r="L3" s="2">
        <v>0.75</v>
      </c>
      <c r="N3" t="s">
        <v>85</v>
      </c>
      <c r="O3" t="s">
        <v>113</v>
      </c>
      <c r="P3">
        <f t="shared" si="0"/>
        <v>15</v>
      </c>
      <c r="Q3">
        <f t="shared" si="0"/>
        <v>30</v>
      </c>
      <c r="R3">
        <f t="shared" si="0"/>
        <v>10</v>
      </c>
      <c r="S3">
        <f t="shared" si="0"/>
        <v>40</v>
      </c>
      <c r="T3">
        <f t="shared" si="0"/>
        <v>40</v>
      </c>
      <c r="U3">
        <f t="shared" si="0"/>
        <v>10</v>
      </c>
      <c r="V3">
        <f t="shared" si="0"/>
        <v>5</v>
      </c>
      <c r="X3" s="44"/>
      <c r="Y3" s="44"/>
      <c r="Z3" s="44"/>
      <c r="AA3" s="44"/>
      <c r="AB3" s="44"/>
      <c r="AC3" s="44"/>
      <c r="AE3" s="47" t="s">
        <v>20</v>
      </c>
      <c r="AF3" s="48">
        <v>1.75</v>
      </c>
      <c r="AG3" s="48">
        <v>1.5</v>
      </c>
      <c r="AH3" s="48">
        <v>1</v>
      </c>
      <c r="AJ3" s="52">
        <v>1000</v>
      </c>
      <c r="AK3" s="52">
        <v>0.75</v>
      </c>
      <c r="AL3" s="52" t="s">
        <v>681</v>
      </c>
      <c r="AM3" s="52">
        <v>1</v>
      </c>
      <c r="AN3" s="52" t="s">
        <v>682</v>
      </c>
      <c r="AO3" s="52">
        <v>1.5</v>
      </c>
      <c r="AP3" s="52" t="s">
        <v>682</v>
      </c>
      <c r="AQ3" s="52">
        <v>2</v>
      </c>
      <c r="AR3" s="52" t="s">
        <v>682</v>
      </c>
      <c r="AS3" s="52">
        <v>2</v>
      </c>
    </row>
    <row r="4" spans="1:45" x14ac:dyDescent="0.2">
      <c r="A4" s="7" t="s">
        <v>20</v>
      </c>
      <c r="B4" s="27" t="s">
        <v>142</v>
      </c>
      <c r="C4" s="8" t="s">
        <v>113</v>
      </c>
      <c r="D4" s="7">
        <v>0</v>
      </c>
      <c r="E4" s="1">
        <v>0</v>
      </c>
      <c r="F4" s="1">
        <v>0</v>
      </c>
      <c r="G4" s="1">
        <v>20</v>
      </c>
      <c r="H4" s="1">
        <v>0</v>
      </c>
      <c r="I4" s="1">
        <v>0</v>
      </c>
      <c r="J4" s="8">
        <v>0</v>
      </c>
      <c r="K4" s="2">
        <v>5000</v>
      </c>
      <c r="L4" s="2">
        <v>1</v>
      </c>
      <c r="N4" t="s">
        <v>32</v>
      </c>
      <c r="O4" t="s">
        <v>113</v>
      </c>
      <c r="P4">
        <f t="shared" si="0"/>
        <v>10</v>
      </c>
      <c r="Q4">
        <f t="shared" si="0"/>
        <v>20</v>
      </c>
      <c r="R4">
        <f t="shared" si="0"/>
        <v>10</v>
      </c>
      <c r="S4">
        <f t="shared" si="0"/>
        <v>60</v>
      </c>
      <c r="T4">
        <f t="shared" si="0"/>
        <v>28</v>
      </c>
      <c r="U4">
        <f t="shared" si="0"/>
        <v>8</v>
      </c>
      <c r="V4">
        <f t="shared" si="0"/>
        <v>8</v>
      </c>
      <c r="W4" s="1"/>
      <c r="X4" s="44"/>
      <c r="Y4" s="45"/>
      <c r="Z4" s="46"/>
      <c r="AA4" s="46"/>
      <c r="AB4" s="46"/>
      <c r="AC4" s="44"/>
      <c r="AE4" s="47" t="s">
        <v>32</v>
      </c>
      <c r="AF4" s="48">
        <v>1.25</v>
      </c>
      <c r="AG4" s="48">
        <v>1</v>
      </c>
      <c r="AH4" s="48">
        <v>0.8</v>
      </c>
      <c r="AJ4" s="52">
        <v>5000</v>
      </c>
      <c r="AK4" s="52">
        <v>1</v>
      </c>
      <c r="AL4" s="52" t="s">
        <v>683</v>
      </c>
      <c r="AM4" s="52">
        <v>1.5</v>
      </c>
      <c r="AN4" s="52" t="s">
        <v>684</v>
      </c>
      <c r="AO4" s="52">
        <v>1.25</v>
      </c>
      <c r="AP4" s="52" t="s">
        <v>684</v>
      </c>
      <c r="AQ4" s="52">
        <v>1.5</v>
      </c>
      <c r="AR4" s="52" t="s">
        <v>684</v>
      </c>
      <c r="AS4" s="52">
        <v>1.5</v>
      </c>
    </row>
    <row r="5" spans="1:45" x14ac:dyDescent="0.2">
      <c r="A5" s="7" t="s">
        <v>20</v>
      </c>
      <c r="B5" s="27" t="s">
        <v>143</v>
      </c>
      <c r="C5" s="8" t="s">
        <v>113</v>
      </c>
      <c r="D5" s="7">
        <v>0</v>
      </c>
      <c r="E5" s="1">
        <v>0</v>
      </c>
      <c r="F5" s="1">
        <v>0</v>
      </c>
      <c r="G5" s="1">
        <v>20</v>
      </c>
      <c r="H5" s="1">
        <v>0</v>
      </c>
      <c r="I5" s="1">
        <v>0</v>
      </c>
      <c r="J5" s="8">
        <v>0</v>
      </c>
      <c r="K5" s="2">
        <v>10000</v>
      </c>
      <c r="L5" s="2">
        <v>1.25</v>
      </c>
      <c r="N5" t="s">
        <v>20</v>
      </c>
      <c r="O5" t="s">
        <v>113</v>
      </c>
      <c r="P5">
        <f t="shared" si="0"/>
        <v>15</v>
      </c>
      <c r="Q5">
        <f t="shared" si="0"/>
        <v>15</v>
      </c>
      <c r="R5">
        <f t="shared" si="0"/>
        <v>7</v>
      </c>
      <c r="S5">
        <f t="shared" si="0"/>
        <v>40</v>
      </c>
      <c r="T5">
        <f t="shared" si="0"/>
        <v>60</v>
      </c>
      <c r="U5">
        <f t="shared" si="0"/>
        <v>10</v>
      </c>
      <c r="V5">
        <f t="shared" si="0"/>
        <v>4</v>
      </c>
      <c r="X5" s="44"/>
      <c r="Y5" s="47" t="s">
        <v>20</v>
      </c>
      <c r="Z5" s="46" t="s">
        <v>144</v>
      </c>
      <c r="AA5">
        <v>1.75</v>
      </c>
      <c r="AB5" s="48"/>
      <c r="AC5" s="44"/>
      <c r="AE5" s="47" t="s">
        <v>23</v>
      </c>
      <c r="AF5" s="48">
        <v>1.2250000000000001</v>
      </c>
      <c r="AG5" s="48">
        <v>1.05</v>
      </c>
      <c r="AH5" s="48">
        <v>0.7</v>
      </c>
      <c r="AJ5" s="52">
        <v>10000</v>
      </c>
      <c r="AK5" s="52">
        <v>1.25</v>
      </c>
      <c r="AL5" s="52"/>
      <c r="AM5" s="52"/>
      <c r="AN5" s="52" t="s">
        <v>685</v>
      </c>
      <c r="AO5" s="52">
        <v>1</v>
      </c>
      <c r="AP5" s="52" t="s">
        <v>685</v>
      </c>
      <c r="AQ5" s="52">
        <v>1</v>
      </c>
      <c r="AR5" s="52" t="s">
        <v>685</v>
      </c>
      <c r="AS5" s="52">
        <v>1</v>
      </c>
    </row>
    <row r="6" spans="1:45" x14ac:dyDescent="0.2">
      <c r="A6" s="7" t="s">
        <v>20</v>
      </c>
      <c r="B6" s="27" t="s">
        <v>145</v>
      </c>
      <c r="C6" s="8" t="s">
        <v>113</v>
      </c>
      <c r="D6" s="7">
        <v>0</v>
      </c>
      <c r="E6" s="1">
        <v>0</v>
      </c>
      <c r="F6" s="1">
        <v>0</v>
      </c>
      <c r="G6" s="1">
        <v>0</v>
      </c>
      <c r="H6" s="1">
        <v>40</v>
      </c>
      <c r="I6" s="1">
        <v>0</v>
      </c>
      <c r="J6" s="8">
        <v>0</v>
      </c>
      <c r="K6" s="2">
        <v>25000</v>
      </c>
      <c r="L6" s="2">
        <v>1.5</v>
      </c>
      <c r="N6" t="s">
        <v>23</v>
      </c>
      <c r="O6" t="s">
        <v>114</v>
      </c>
      <c r="P6">
        <f t="shared" si="0"/>
        <v>5</v>
      </c>
      <c r="Q6">
        <f t="shared" si="0"/>
        <v>5</v>
      </c>
      <c r="R6">
        <f t="shared" si="0"/>
        <v>5</v>
      </c>
      <c r="S6">
        <f t="shared" si="0"/>
        <v>10</v>
      </c>
      <c r="T6">
        <f t="shared" si="0"/>
        <v>19</v>
      </c>
      <c r="U6">
        <f t="shared" si="0"/>
        <v>11</v>
      </c>
      <c r="V6">
        <f t="shared" si="0"/>
        <v>1</v>
      </c>
      <c r="X6" s="44"/>
      <c r="Y6" s="47" t="s">
        <v>32</v>
      </c>
      <c r="Z6" s="46" t="s">
        <v>144</v>
      </c>
      <c r="AA6">
        <v>1.25</v>
      </c>
      <c r="AB6" s="48"/>
      <c r="AC6" s="44"/>
      <c r="AE6" s="47" t="s">
        <v>85</v>
      </c>
      <c r="AF6" s="48">
        <v>1.75</v>
      </c>
      <c r="AG6" s="48">
        <v>1.5</v>
      </c>
      <c r="AH6" s="48">
        <v>1</v>
      </c>
      <c r="AJ6" s="52">
        <v>25000</v>
      </c>
      <c r="AK6" s="52">
        <v>1.5</v>
      </c>
      <c r="AL6" s="52"/>
      <c r="AM6" s="52"/>
      <c r="AN6" s="52"/>
      <c r="AO6" s="52"/>
      <c r="AP6" s="52"/>
      <c r="AQ6" s="52"/>
      <c r="AR6" s="52"/>
      <c r="AS6" s="52"/>
    </row>
    <row r="7" spans="1:45" x14ac:dyDescent="0.2">
      <c r="A7" s="7" t="s">
        <v>20</v>
      </c>
      <c r="B7" s="25" t="s">
        <v>146</v>
      </c>
      <c r="C7" s="8" t="s">
        <v>113</v>
      </c>
      <c r="D7" s="7">
        <v>0</v>
      </c>
      <c r="E7" s="1">
        <v>0</v>
      </c>
      <c r="F7" s="1">
        <v>0</v>
      </c>
      <c r="G7" s="1">
        <v>0</v>
      </c>
      <c r="H7" s="1">
        <v>10</v>
      </c>
      <c r="I7" s="1">
        <v>0</v>
      </c>
      <c r="J7" s="8">
        <v>0</v>
      </c>
      <c r="K7" s="2">
        <v>100000</v>
      </c>
      <c r="L7" s="2">
        <v>2</v>
      </c>
      <c r="N7" t="s">
        <v>85</v>
      </c>
      <c r="O7" t="s">
        <v>114</v>
      </c>
      <c r="P7">
        <f t="shared" si="0"/>
        <v>20</v>
      </c>
      <c r="Q7">
        <f t="shared" si="0"/>
        <v>10</v>
      </c>
      <c r="R7">
        <f t="shared" si="0"/>
        <v>20</v>
      </c>
      <c r="S7">
        <f t="shared" si="0"/>
        <v>5</v>
      </c>
      <c r="T7">
        <f t="shared" si="0"/>
        <v>60</v>
      </c>
      <c r="U7">
        <f t="shared" si="0"/>
        <v>20</v>
      </c>
      <c r="V7">
        <f t="shared" si="0"/>
        <v>10</v>
      </c>
      <c r="X7" s="44"/>
      <c r="Y7" s="47" t="s">
        <v>23</v>
      </c>
      <c r="Z7" s="46" t="s">
        <v>144</v>
      </c>
      <c r="AA7">
        <v>1.2250000000000001</v>
      </c>
      <c r="AB7" s="48"/>
      <c r="AC7" s="44"/>
      <c r="AJ7" s="52">
        <v>100000</v>
      </c>
      <c r="AK7" s="52">
        <v>2</v>
      </c>
      <c r="AL7" s="52"/>
      <c r="AM7" s="52"/>
      <c r="AN7" s="52"/>
      <c r="AO7" s="52"/>
      <c r="AP7" s="52"/>
      <c r="AQ7" s="52"/>
      <c r="AR7" s="52"/>
      <c r="AS7" s="52"/>
    </row>
    <row r="8" spans="1:45" ht="17" thickBot="1" x14ac:dyDescent="0.25">
      <c r="A8" s="9" t="s">
        <v>20</v>
      </c>
      <c r="B8" s="26" t="s">
        <v>147</v>
      </c>
      <c r="C8" s="11" t="s">
        <v>113</v>
      </c>
      <c r="D8" s="9">
        <v>0</v>
      </c>
      <c r="E8" s="10">
        <v>0</v>
      </c>
      <c r="F8" s="10">
        <v>0</v>
      </c>
      <c r="G8" s="10">
        <v>0</v>
      </c>
      <c r="H8" s="10">
        <v>10</v>
      </c>
      <c r="I8" s="10">
        <v>10</v>
      </c>
      <c r="J8" s="11">
        <v>4</v>
      </c>
      <c r="N8" t="s">
        <v>32</v>
      </c>
      <c r="O8" t="s">
        <v>114</v>
      </c>
      <c r="P8">
        <f t="shared" si="0"/>
        <v>27</v>
      </c>
      <c r="Q8">
        <f t="shared" si="0"/>
        <v>30</v>
      </c>
      <c r="R8">
        <f t="shared" si="0"/>
        <v>36</v>
      </c>
      <c r="S8">
        <f t="shared" si="0"/>
        <v>20</v>
      </c>
      <c r="T8">
        <f t="shared" si="0"/>
        <v>38</v>
      </c>
      <c r="U8">
        <f t="shared" si="0"/>
        <v>24</v>
      </c>
      <c r="V8">
        <f t="shared" si="0"/>
        <v>24</v>
      </c>
      <c r="X8" s="44"/>
      <c r="Y8" s="47" t="s">
        <v>85</v>
      </c>
      <c r="Z8" s="46" t="s">
        <v>144</v>
      </c>
      <c r="AA8">
        <v>1.75</v>
      </c>
      <c r="AB8" s="48"/>
      <c r="AC8" s="49"/>
    </row>
    <row r="9" spans="1:45" x14ac:dyDescent="0.2">
      <c r="A9" s="7" t="s">
        <v>20</v>
      </c>
      <c r="B9" s="27" t="s">
        <v>148</v>
      </c>
      <c r="C9" s="8" t="s">
        <v>114</v>
      </c>
      <c r="D9" s="7">
        <v>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8">
        <v>0</v>
      </c>
      <c r="K9" s="20"/>
      <c r="L9" s="20"/>
      <c r="M9" s="20"/>
      <c r="N9" t="s">
        <v>20</v>
      </c>
      <c r="O9" t="s">
        <v>114</v>
      </c>
      <c r="P9">
        <f t="shared" si="0"/>
        <v>16</v>
      </c>
      <c r="Q9">
        <f t="shared" si="0"/>
        <v>24</v>
      </c>
      <c r="R9">
        <f t="shared" si="0"/>
        <v>14</v>
      </c>
      <c r="S9">
        <f t="shared" si="0"/>
        <v>15</v>
      </c>
      <c r="T9">
        <f t="shared" si="0"/>
        <v>37</v>
      </c>
      <c r="U9">
        <f t="shared" si="0"/>
        <v>19</v>
      </c>
      <c r="V9">
        <f t="shared" si="0"/>
        <v>0</v>
      </c>
      <c r="Y9" s="47" t="s">
        <v>20</v>
      </c>
      <c r="Z9" s="46" t="s">
        <v>149</v>
      </c>
      <c r="AA9">
        <v>1.5</v>
      </c>
      <c r="AB9" s="48"/>
    </row>
    <row r="10" spans="1:45" x14ac:dyDescent="0.2">
      <c r="A10" s="7" t="s">
        <v>20</v>
      </c>
      <c r="B10" s="27" t="s">
        <v>150</v>
      </c>
      <c r="C10" s="8" t="s">
        <v>114</v>
      </c>
      <c r="D10" s="7">
        <v>8</v>
      </c>
      <c r="E10" s="1">
        <v>8</v>
      </c>
      <c r="F10" s="1">
        <v>0</v>
      </c>
      <c r="G10" s="1">
        <v>0</v>
      </c>
      <c r="H10" s="1">
        <v>0</v>
      </c>
      <c r="I10" s="1">
        <v>0</v>
      </c>
      <c r="J10" s="8">
        <v>0</v>
      </c>
      <c r="K10" s="20"/>
      <c r="L10" s="20"/>
      <c r="M10" s="20"/>
      <c r="N10" t="s">
        <v>23</v>
      </c>
      <c r="O10" t="s">
        <v>124</v>
      </c>
      <c r="P10">
        <f t="shared" ref="P10:V17" si="1">SUMIFS(D$2:D$91,$A$2:$A$91,$N10,$C$2:$C$91,"Analyst")</f>
        <v>10</v>
      </c>
      <c r="Q10">
        <f t="shared" si="1"/>
        <v>12</v>
      </c>
      <c r="R10">
        <f t="shared" si="1"/>
        <v>11</v>
      </c>
      <c r="S10">
        <f t="shared" si="1"/>
        <v>0</v>
      </c>
      <c r="T10">
        <f t="shared" si="1"/>
        <v>89</v>
      </c>
      <c r="U10">
        <f t="shared" si="1"/>
        <v>20</v>
      </c>
      <c r="V10">
        <f t="shared" si="1"/>
        <v>1</v>
      </c>
      <c r="Y10" s="47" t="s">
        <v>32</v>
      </c>
      <c r="Z10" s="46" t="s">
        <v>149</v>
      </c>
      <c r="AA10">
        <v>1</v>
      </c>
      <c r="AB10" s="48"/>
    </row>
    <row r="11" spans="1:45" x14ac:dyDescent="0.2">
      <c r="A11" s="7" t="s">
        <v>20</v>
      </c>
      <c r="B11" s="27" t="s">
        <v>151</v>
      </c>
      <c r="C11" s="8" t="s">
        <v>114</v>
      </c>
      <c r="D11" s="7">
        <v>0</v>
      </c>
      <c r="E11" s="1">
        <v>1</v>
      </c>
      <c r="F11" s="1">
        <v>4</v>
      </c>
      <c r="G11" s="1">
        <v>0</v>
      </c>
      <c r="H11" s="1">
        <v>0</v>
      </c>
      <c r="I11" s="1">
        <v>0</v>
      </c>
      <c r="J11" s="8">
        <v>0</v>
      </c>
      <c r="K11" s="20"/>
      <c r="L11" s="20"/>
      <c r="M11" s="20"/>
      <c r="N11" t="s">
        <v>85</v>
      </c>
      <c r="O11" t="s">
        <v>124</v>
      </c>
      <c r="P11">
        <f t="shared" si="1"/>
        <v>0</v>
      </c>
      <c r="Q11">
        <f t="shared" si="1"/>
        <v>0</v>
      </c>
      <c r="R11">
        <f t="shared" si="1"/>
        <v>0</v>
      </c>
      <c r="S11">
        <f t="shared" si="1"/>
        <v>0</v>
      </c>
      <c r="T11">
        <f t="shared" si="1"/>
        <v>0</v>
      </c>
      <c r="U11">
        <f t="shared" si="1"/>
        <v>0</v>
      </c>
      <c r="V11">
        <f t="shared" si="1"/>
        <v>0</v>
      </c>
      <c r="Y11" s="47" t="s">
        <v>23</v>
      </c>
      <c r="Z11" s="46" t="s">
        <v>149</v>
      </c>
      <c r="AA11">
        <v>1.05</v>
      </c>
      <c r="AB11" s="48"/>
    </row>
    <row r="12" spans="1:45" x14ac:dyDescent="0.2">
      <c r="A12" s="7" t="s">
        <v>20</v>
      </c>
      <c r="B12" s="27" t="s">
        <v>152</v>
      </c>
      <c r="C12" s="8" t="s">
        <v>114</v>
      </c>
      <c r="D12" s="7">
        <v>0</v>
      </c>
      <c r="E12" s="1">
        <v>10</v>
      </c>
      <c r="F12" s="1">
        <v>0</v>
      </c>
      <c r="G12" s="1">
        <v>0</v>
      </c>
      <c r="H12" s="1">
        <v>0</v>
      </c>
      <c r="I12" s="1">
        <v>0</v>
      </c>
      <c r="J12" s="8">
        <v>0</v>
      </c>
      <c r="K12" s="20"/>
      <c r="L12" s="20" t="s">
        <v>153</v>
      </c>
      <c r="M12" s="20"/>
      <c r="N12" t="s">
        <v>32</v>
      </c>
      <c r="O12" t="s">
        <v>124</v>
      </c>
      <c r="P12">
        <f t="shared" si="1"/>
        <v>20</v>
      </c>
      <c r="Q12">
        <f t="shared" si="1"/>
        <v>22</v>
      </c>
      <c r="R12">
        <f t="shared" si="1"/>
        <v>11</v>
      </c>
      <c r="S12">
        <f t="shared" si="1"/>
        <v>0</v>
      </c>
      <c r="T12">
        <f t="shared" si="1"/>
        <v>89</v>
      </c>
      <c r="U12">
        <f t="shared" si="1"/>
        <v>20</v>
      </c>
      <c r="V12">
        <f t="shared" si="1"/>
        <v>1</v>
      </c>
      <c r="Y12" s="47" t="s">
        <v>85</v>
      </c>
      <c r="Z12" s="46" t="s">
        <v>149</v>
      </c>
      <c r="AA12">
        <v>1.5</v>
      </c>
      <c r="AB12" s="48"/>
    </row>
    <row r="13" spans="1:45" x14ac:dyDescent="0.2">
      <c r="A13" s="7" t="s">
        <v>20</v>
      </c>
      <c r="B13" s="27" t="s">
        <v>145</v>
      </c>
      <c r="C13" s="8" t="s">
        <v>114</v>
      </c>
      <c r="D13" s="7">
        <v>0</v>
      </c>
      <c r="E13" s="1">
        <v>0</v>
      </c>
      <c r="F13" s="1">
        <v>5</v>
      </c>
      <c r="G13" s="1">
        <v>10</v>
      </c>
      <c r="H13" s="1">
        <v>0</v>
      </c>
      <c r="I13" s="1">
        <v>0</v>
      </c>
      <c r="J13" s="8">
        <v>0</v>
      </c>
      <c r="K13" s="20"/>
      <c r="L13" s="20" t="s">
        <v>154</v>
      </c>
      <c r="M13" s="20"/>
      <c r="N13" t="s">
        <v>20</v>
      </c>
      <c r="O13" t="s">
        <v>124</v>
      </c>
      <c r="P13">
        <f t="shared" si="1"/>
        <v>30</v>
      </c>
      <c r="Q13">
        <f t="shared" si="1"/>
        <v>22</v>
      </c>
      <c r="R13">
        <f t="shared" si="1"/>
        <v>12</v>
      </c>
      <c r="S13">
        <f t="shared" si="1"/>
        <v>0</v>
      </c>
      <c r="T13">
        <f t="shared" si="1"/>
        <v>89</v>
      </c>
      <c r="U13">
        <f t="shared" si="1"/>
        <v>20</v>
      </c>
      <c r="V13">
        <f t="shared" si="1"/>
        <v>1</v>
      </c>
      <c r="Y13" s="47" t="s">
        <v>20</v>
      </c>
      <c r="Z13" s="46" t="s">
        <v>155</v>
      </c>
      <c r="AA13">
        <v>1</v>
      </c>
    </row>
    <row r="14" spans="1:45" x14ac:dyDescent="0.2">
      <c r="A14" s="7" t="s">
        <v>20</v>
      </c>
      <c r="B14" s="25" t="s">
        <v>156</v>
      </c>
      <c r="C14" s="8" t="s">
        <v>114</v>
      </c>
      <c r="D14" s="7">
        <v>0</v>
      </c>
      <c r="E14" s="1">
        <v>0</v>
      </c>
      <c r="F14" s="1">
        <v>0</v>
      </c>
      <c r="G14" s="1">
        <v>0</v>
      </c>
      <c r="H14" s="1">
        <v>32</v>
      </c>
      <c r="I14" s="1">
        <v>0</v>
      </c>
      <c r="J14" s="8">
        <v>0</v>
      </c>
      <c r="K14" s="20" t="s">
        <v>157</v>
      </c>
      <c r="L14" s="20"/>
      <c r="M14" s="20"/>
      <c r="N14" t="s">
        <v>23</v>
      </c>
      <c r="O14" t="s">
        <v>6</v>
      </c>
      <c r="P14">
        <f t="shared" si="1"/>
        <v>10</v>
      </c>
      <c r="Q14">
        <f t="shared" si="1"/>
        <v>12</v>
      </c>
      <c r="R14">
        <f t="shared" si="1"/>
        <v>11</v>
      </c>
      <c r="S14">
        <f t="shared" si="1"/>
        <v>0</v>
      </c>
      <c r="T14">
        <f t="shared" si="1"/>
        <v>89</v>
      </c>
      <c r="U14">
        <f t="shared" si="1"/>
        <v>20</v>
      </c>
      <c r="V14">
        <f t="shared" si="1"/>
        <v>1</v>
      </c>
      <c r="Y14" s="47" t="s">
        <v>32</v>
      </c>
      <c r="Z14" s="46" t="s">
        <v>155</v>
      </c>
      <c r="AA14">
        <v>0.8</v>
      </c>
    </row>
    <row r="15" spans="1:45" ht="17" thickBot="1" x14ac:dyDescent="0.25">
      <c r="A15" s="9" t="s">
        <v>20</v>
      </c>
      <c r="B15" s="26" t="s">
        <v>158</v>
      </c>
      <c r="C15" s="11" t="s">
        <v>114</v>
      </c>
      <c r="D15" s="9">
        <v>5</v>
      </c>
      <c r="E15" s="10">
        <v>5</v>
      </c>
      <c r="F15" s="10">
        <v>5</v>
      </c>
      <c r="G15" s="10">
        <v>5</v>
      </c>
      <c r="H15" s="10">
        <v>5</v>
      </c>
      <c r="I15" s="10">
        <v>19</v>
      </c>
      <c r="J15" s="11">
        <v>0</v>
      </c>
      <c r="K15" s="20" cm="1">
        <f t="array" ref="K15">SUM(D9:E15,G9:J15)+SUM(F9:F15*6)</f>
        <v>195</v>
      </c>
      <c r="L15" s="20">
        <f>K15*1.75</f>
        <v>341.25</v>
      </c>
      <c r="M15" s="20"/>
      <c r="N15" t="s">
        <v>85</v>
      </c>
      <c r="O15" t="s">
        <v>6</v>
      </c>
      <c r="P15">
        <f t="shared" si="1"/>
        <v>0</v>
      </c>
      <c r="Q15">
        <f t="shared" si="1"/>
        <v>0</v>
      </c>
      <c r="R15">
        <f t="shared" si="1"/>
        <v>0</v>
      </c>
      <c r="S15">
        <f t="shared" si="1"/>
        <v>0</v>
      </c>
      <c r="T15">
        <f t="shared" si="1"/>
        <v>0</v>
      </c>
      <c r="U15">
        <f t="shared" si="1"/>
        <v>0</v>
      </c>
      <c r="V15">
        <f t="shared" si="1"/>
        <v>0</v>
      </c>
      <c r="Y15" s="47" t="s">
        <v>23</v>
      </c>
      <c r="Z15" s="46" t="s">
        <v>155</v>
      </c>
      <c r="AA15">
        <v>0.7</v>
      </c>
    </row>
    <row r="16" spans="1:45" x14ac:dyDescent="0.2">
      <c r="A16" s="21" t="s">
        <v>20</v>
      </c>
      <c r="B16" s="28" t="s">
        <v>802</v>
      </c>
      <c r="C16" s="22" t="s">
        <v>160</v>
      </c>
      <c r="D16" s="21">
        <v>30</v>
      </c>
      <c r="E16" s="23">
        <v>10</v>
      </c>
      <c r="F16" s="23">
        <v>1</v>
      </c>
      <c r="G16" s="23">
        <v>0</v>
      </c>
      <c r="H16" s="23">
        <v>0</v>
      </c>
      <c r="I16" s="23">
        <v>0</v>
      </c>
      <c r="J16" s="22">
        <v>0</v>
      </c>
      <c r="K16" s="20"/>
      <c r="L16" s="20"/>
      <c r="M16" s="20"/>
      <c r="N16" t="s">
        <v>32</v>
      </c>
      <c r="O16" t="s">
        <v>6</v>
      </c>
      <c r="P16">
        <f t="shared" si="1"/>
        <v>20</v>
      </c>
      <c r="Q16">
        <f t="shared" si="1"/>
        <v>22</v>
      </c>
      <c r="R16">
        <f t="shared" si="1"/>
        <v>11</v>
      </c>
      <c r="S16">
        <f t="shared" si="1"/>
        <v>0</v>
      </c>
      <c r="T16">
        <f t="shared" si="1"/>
        <v>89</v>
      </c>
      <c r="U16">
        <f t="shared" si="1"/>
        <v>20</v>
      </c>
      <c r="V16">
        <f t="shared" si="1"/>
        <v>1</v>
      </c>
      <c r="Y16" s="47" t="s">
        <v>85</v>
      </c>
      <c r="Z16" s="46" t="s">
        <v>155</v>
      </c>
      <c r="AA16">
        <v>1</v>
      </c>
    </row>
    <row r="17" spans="1:27" x14ac:dyDescent="0.2">
      <c r="A17" s="7" t="s">
        <v>20</v>
      </c>
      <c r="B17" s="27" t="s">
        <v>141</v>
      </c>
      <c r="C17" s="8" t="s">
        <v>160</v>
      </c>
      <c r="D17" s="7">
        <v>0</v>
      </c>
      <c r="E17" s="1">
        <v>12</v>
      </c>
      <c r="F17" s="1">
        <v>1</v>
      </c>
      <c r="G17" s="1">
        <v>0</v>
      </c>
      <c r="H17" s="1">
        <v>0</v>
      </c>
      <c r="I17" s="1">
        <v>0</v>
      </c>
      <c r="J17" s="8">
        <v>0</v>
      </c>
      <c r="K17" s="20"/>
      <c r="L17" s="20"/>
      <c r="M17" s="20"/>
      <c r="N17" t="s">
        <v>20</v>
      </c>
      <c r="O17" t="s">
        <v>6</v>
      </c>
      <c r="P17">
        <f t="shared" si="1"/>
        <v>30</v>
      </c>
      <c r="Q17">
        <f t="shared" si="1"/>
        <v>22</v>
      </c>
      <c r="R17">
        <f t="shared" si="1"/>
        <v>12</v>
      </c>
      <c r="S17">
        <f t="shared" si="1"/>
        <v>0</v>
      </c>
      <c r="T17">
        <f t="shared" si="1"/>
        <v>89</v>
      </c>
      <c r="U17">
        <f t="shared" si="1"/>
        <v>20</v>
      </c>
      <c r="V17">
        <f t="shared" si="1"/>
        <v>1</v>
      </c>
      <c r="Y17" s="47" t="s">
        <v>20</v>
      </c>
      <c r="Z17" s="46" t="s">
        <v>161</v>
      </c>
      <c r="AA17">
        <v>1</v>
      </c>
    </row>
    <row r="18" spans="1:27" x14ac:dyDescent="0.2">
      <c r="A18" s="7" t="s">
        <v>20</v>
      </c>
      <c r="B18" s="27" t="s">
        <v>163</v>
      </c>
      <c r="C18" s="8" t="s">
        <v>160</v>
      </c>
      <c r="D18" s="7">
        <v>0</v>
      </c>
      <c r="E18" s="1">
        <v>0</v>
      </c>
      <c r="F18" s="1">
        <v>10</v>
      </c>
      <c r="G18" s="1">
        <v>0</v>
      </c>
      <c r="H18" s="1">
        <v>0</v>
      </c>
      <c r="I18" s="1">
        <v>0</v>
      </c>
      <c r="J18" s="8">
        <v>0</v>
      </c>
      <c r="K18" s="20"/>
      <c r="L18" s="20"/>
      <c r="M18" s="20"/>
      <c r="N18" t="s">
        <v>23</v>
      </c>
      <c r="O18" t="s">
        <v>123</v>
      </c>
      <c r="P18">
        <f t="shared" ref="P18:V21" si="2">SUMIFS(D$2:D$91,$A$2:$A$91,$N18,$C$2:$C$91,$O18)</f>
        <v>24</v>
      </c>
      <c r="Q18">
        <f t="shared" si="2"/>
        <v>23</v>
      </c>
      <c r="R18">
        <f t="shared" si="2"/>
        <v>0</v>
      </c>
      <c r="S18">
        <f t="shared" si="2"/>
        <v>10</v>
      </c>
      <c r="T18">
        <f t="shared" si="2"/>
        <v>25</v>
      </c>
      <c r="U18">
        <f t="shared" si="2"/>
        <v>0</v>
      </c>
      <c r="V18">
        <f t="shared" si="2"/>
        <v>0</v>
      </c>
      <c r="Y18" s="47" t="s">
        <v>32</v>
      </c>
      <c r="Z18" s="46" t="s">
        <v>161</v>
      </c>
      <c r="AA18">
        <v>0.8</v>
      </c>
    </row>
    <row r="19" spans="1:27" x14ac:dyDescent="0.2">
      <c r="A19" s="7" t="s">
        <v>20</v>
      </c>
      <c r="B19" s="27" t="s">
        <v>143</v>
      </c>
      <c r="C19" s="8" t="s">
        <v>160</v>
      </c>
      <c r="D19" s="7">
        <v>0</v>
      </c>
      <c r="E19" s="1">
        <v>0</v>
      </c>
      <c r="F19" s="1">
        <v>0</v>
      </c>
      <c r="G19" s="74">
        <v>0</v>
      </c>
      <c r="H19" s="1">
        <v>25</v>
      </c>
      <c r="I19" s="1">
        <v>0</v>
      </c>
      <c r="J19" s="8">
        <v>0</v>
      </c>
      <c r="K19" s="20"/>
      <c r="L19" s="20"/>
      <c r="M19" s="20"/>
      <c r="N19" t="s">
        <v>85</v>
      </c>
      <c r="O19" t="s">
        <v>123</v>
      </c>
      <c r="P19">
        <f t="shared" si="2"/>
        <v>0</v>
      </c>
      <c r="Q19">
        <f t="shared" si="2"/>
        <v>0</v>
      </c>
      <c r="R19">
        <f t="shared" si="2"/>
        <v>0</v>
      </c>
      <c r="S19">
        <f t="shared" si="2"/>
        <v>0</v>
      </c>
      <c r="T19">
        <f t="shared" si="2"/>
        <v>0</v>
      </c>
      <c r="U19">
        <f t="shared" si="2"/>
        <v>0</v>
      </c>
      <c r="V19">
        <f t="shared" si="2"/>
        <v>0</v>
      </c>
      <c r="Y19" s="47" t="s">
        <v>23</v>
      </c>
      <c r="Z19" s="46" t="s">
        <v>161</v>
      </c>
      <c r="AA19">
        <v>0.7</v>
      </c>
    </row>
    <row r="20" spans="1:27" x14ac:dyDescent="0.2">
      <c r="A20" s="7" t="s">
        <v>20</v>
      </c>
      <c r="B20" s="27" t="s">
        <v>145</v>
      </c>
      <c r="C20" s="8" t="s">
        <v>160</v>
      </c>
      <c r="D20" s="7">
        <v>0</v>
      </c>
      <c r="E20" s="1">
        <v>0</v>
      </c>
      <c r="F20" s="1">
        <v>0</v>
      </c>
      <c r="G20" s="1">
        <v>0</v>
      </c>
      <c r="H20" s="74">
        <v>60</v>
      </c>
      <c r="I20" s="1">
        <v>0</v>
      </c>
      <c r="J20" s="8">
        <v>0</v>
      </c>
      <c r="K20" s="20"/>
      <c r="L20" s="20"/>
      <c r="M20" s="20"/>
      <c r="N20" t="s">
        <v>32</v>
      </c>
      <c r="O20" t="s">
        <v>123</v>
      </c>
      <c r="P20">
        <f t="shared" si="2"/>
        <v>24</v>
      </c>
      <c r="Q20">
        <f t="shared" si="2"/>
        <v>23</v>
      </c>
      <c r="R20">
        <f t="shared" si="2"/>
        <v>0</v>
      </c>
      <c r="S20">
        <f t="shared" si="2"/>
        <v>10</v>
      </c>
      <c r="T20">
        <f t="shared" si="2"/>
        <v>25</v>
      </c>
      <c r="U20">
        <f t="shared" si="2"/>
        <v>0</v>
      </c>
      <c r="V20">
        <f t="shared" si="2"/>
        <v>0</v>
      </c>
      <c r="Y20" s="47" t="s">
        <v>85</v>
      </c>
      <c r="Z20" s="46" t="s">
        <v>161</v>
      </c>
      <c r="AA20">
        <v>1</v>
      </c>
    </row>
    <row r="21" spans="1:27" x14ac:dyDescent="0.2">
      <c r="A21" s="7" t="s">
        <v>20</v>
      </c>
      <c r="B21" s="25" t="s">
        <v>146</v>
      </c>
      <c r="C21" s="8" t="s">
        <v>160</v>
      </c>
      <c r="D21" s="7">
        <v>0</v>
      </c>
      <c r="E21" s="1">
        <v>0</v>
      </c>
      <c r="F21" s="1">
        <v>0</v>
      </c>
      <c r="G21" s="1">
        <v>0</v>
      </c>
      <c r="H21" s="60">
        <v>4</v>
      </c>
      <c r="I21" s="1">
        <v>0</v>
      </c>
      <c r="J21" s="8">
        <v>0</v>
      </c>
      <c r="K21" s="20"/>
      <c r="L21" s="20"/>
      <c r="M21" s="20"/>
      <c r="N21" t="s">
        <v>20</v>
      </c>
      <c r="O21" t="s">
        <v>123</v>
      </c>
      <c r="P21">
        <f t="shared" si="2"/>
        <v>20</v>
      </c>
      <c r="Q21">
        <f t="shared" si="2"/>
        <v>23</v>
      </c>
      <c r="R21">
        <f t="shared" si="2"/>
        <v>8</v>
      </c>
      <c r="S21">
        <f t="shared" si="2"/>
        <v>0</v>
      </c>
      <c r="T21">
        <f t="shared" si="2"/>
        <v>25</v>
      </c>
      <c r="U21">
        <f t="shared" si="2"/>
        <v>0</v>
      </c>
      <c r="V21">
        <f t="shared" si="2"/>
        <v>0</v>
      </c>
    </row>
    <row r="22" spans="1:27" ht="17" thickBot="1" x14ac:dyDescent="0.25">
      <c r="A22" s="9" t="s">
        <v>20</v>
      </c>
      <c r="B22" s="26" t="s">
        <v>147</v>
      </c>
      <c r="C22" s="11" t="s">
        <v>160</v>
      </c>
      <c r="D22" s="9">
        <v>0</v>
      </c>
      <c r="E22" s="10">
        <v>0</v>
      </c>
      <c r="F22" s="10">
        <v>0</v>
      </c>
      <c r="G22" s="10">
        <v>0</v>
      </c>
      <c r="H22" s="61">
        <v>0</v>
      </c>
      <c r="I22" s="61">
        <v>20</v>
      </c>
      <c r="J22" s="62">
        <v>1</v>
      </c>
      <c r="K22" s="20"/>
      <c r="L22" s="20"/>
      <c r="M22" s="20"/>
    </row>
    <row r="23" spans="1:27" x14ac:dyDescent="0.2">
      <c r="A23" s="7" t="s">
        <v>20</v>
      </c>
      <c r="B23" s="27" t="s">
        <v>162</v>
      </c>
      <c r="C23" s="25" t="s">
        <v>123</v>
      </c>
      <c r="D23" s="1">
        <v>20</v>
      </c>
      <c r="E23" s="1">
        <v>23</v>
      </c>
      <c r="F23" s="1">
        <v>8</v>
      </c>
      <c r="G23" s="1">
        <v>0</v>
      </c>
      <c r="H23" s="1">
        <v>0</v>
      </c>
      <c r="I23" s="1">
        <v>0</v>
      </c>
      <c r="J23" s="8">
        <v>0</v>
      </c>
      <c r="K23" s="20"/>
      <c r="L23" s="20"/>
      <c r="M23" s="20"/>
    </row>
    <row r="24" spans="1:27" x14ac:dyDescent="0.2">
      <c r="A24" s="7" t="s">
        <v>20</v>
      </c>
      <c r="B24" s="27" t="s">
        <v>143</v>
      </c>
      <c r="C24" s="25" t="s">
        <v>123</v>
      </c>
      <c r="D24" s="1">
        <v>0</v>
      </c>
      <c r="E24" s="1">
        <v>0</v>
      </c>
      <c r="F24" s="1">
        <v>0</v>
      </c>
      <c r="G24" s="1">
        <v>0</v>
      </c>
      <c r="H24" s="1">
        <v>25</v>
      </c>
      <c r="I24" s="1">
        <v>0</v>
      </c>
      <c r="J24" s="8">
        <v>0</v>
      </c>
      <c r="K24" s="20"/>
      <c r="L24" s="20"/>
      <c r="M24" s="20"/>
    </row>
    <row r="25" spans="1:27" x14ac:dyDescent="0.2">
      <c r="A25" s="7" t="s">
        <v>20</v>
      </c>
      <c r="B25" s="27" t="s">
        <v>145</v>
      </c>
      <c r="C25" s="25" t="s">
        <v>123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8">
        <v>0</v>
      </c>
      <c r="K25" s="20"/>
      <c r="L25" s="20"/>
      <c r="M25" s="20"/>
    </row>
    <row r="26" spans="1:27" x14ac:dyDescent="0.2">
      <c r="A26" s="7" t="s">
        <v>20</v>
      </c>
      <c r="B26" s="25" t="s">
        <v>146</v>
      </c>
      <c r="C26" s="25" t="s">
        <v>123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8">
        <v>0</v>
      </c>
      <c r="K26" s="20"/>
      <c r="L26" s="20"/>
      <c r="M26" s="20"/>
    </row>
    <row r="27" spans="1:27" ht="17" thickBot="1" x14ac:dyDescent="0.25">
      <c r="A27" s="9" t="s">
        <v>20</v>
      </c>
      <c r="B27" s="26" t="s">
        <v>147</v>
      </c>
      <c r="C27" s="26" t="s">
        <v>123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1">
        <v>0</v>
      </c>
      <c r="K27" s="20"/>
      <c r="L27" s="20"/>
      <c r="M27" s="20"/>
    </row>
    <row r="28" spans="1:27" x14ac:dyDescent="0.2">
      <c r="A28" s="7" t="s">
        <v>32</v>
      </c>
      <c r="B28" s="27" t="s">
        <v>164</v>
      </c>
      <c r="C28" s="8" t="s">
        <v>113</v>
      </c>
      <c r="D28" s="1">
        <v>5</v>
      </c>
      <c r="E28" s="1">
        <v>10</v>
      </c>
      <c r="F28" s="1">
        <v>0</v>
      </c>
      <c r="G28" s="1">
        <v>0</v>
      </c>
      <c r="H28" s="1">
        <v>0</v>
      </c>
      <c r="I28" s="1">
        <v>0</v>
      </c>
      <c r="J28" s="8">
        <v>0</v>
      </c>
      <c r="K28" s="20"/>
      <c r="L28" s="20"/>
      <c r="M28" s="20"/>
    </row>
    <row r="29" spans="1:27" x14ac:dyDescent="0.2">
      <c r="A29" s="7" t="s">
        <v>32</v>
      </c>
      <c r="B29" s="27" t="s">
        <v>141</v>
      </c>
      <c r="C29" s="8" t="s">
        <v>113</v>
      </c>
      <c r="D29" s="1">
        <v>5</v>
      </c>
      <c r="E29" s="1">
        <v>10</v>
      </c>
      <c r="F29" s="1">
        <v>5</v>
      </c>
      <c r="G29" s="1">
        <v>0</v>
      </c>
      <c r="H29" s="1">
        <v>0</v>
      </c>
      <c r="I29" s="1">
        <v>0</v>
      </c>
      <c r="J29" s="8">
        <v>0</v>
      </c>
      <c r="K29" s="20"/>
      <c r="L29" s="20"/>
      <c r="M29" s="20"/>
    </row>
    <row r="30" spans="1:27" x14ac:dyDescent="0.2">
      <c r="A30" s="7" t="s">
        <v>32</v>
      </c>
      <c r="B30" s="27" t="s">
        <v>142</v>
      </c>
      <c r="C30" s="8" t="s">
        <v>113</v>
      </c>
      <c r="D30" s="1">
        <v>0</v>
      </c>
      <c r="E30" s="1">
        <v>0</v>
      </c>
      <c r="F30" s="1">
        <v>5</v>
      </c>
      <c r="G30" s="1">
        <v>15</v>
      </c>
      <c r="H30" s="1">
        <v>0</v>
      </c>
      <c r="I30" s="1">
        <v>0</v>
      </c>
      <c r="J30" s="8">
        <v>0</v>
      </c>
      <c r="K30" s="20" t="s">
        <v>165</v>
      </c>
      <c r="L30" s="20"/>
      <c r="M30" s="20"/>
    </row>
    <row r="31" spans="1:27" x14ac:dyDescent="0.2">
      <c r="A31" s="7" t="s">
        <v>32</v>
      </c>
      <c r="B31" s="27" t="s">
        <v>143</v>
      </c>
      <c r="C31" s="8" t="s">
        <v>113</v>
      </c>
      <c r="D31" s="1">
        <v>0</v>
      </c>
      <c r="E31" s="1">
        <v>0</v>
      </c>
      <c r="F31" s="1">
        <v>0</v>
      </c>
      <c r="G31" s="1">
        <v>15</v>
      </c>
      <c r="H31" s="1">
        <v>0</v>
      </c>
      <c r="I31" s="1">
        <v>0</v>
      </c>
      <c r="J31" s="8">
        <v>0</v>
      </c>
      <c r="K31" s="20" t="s">
        <v>166</v>
      </c>
      <c r="L31" s="20" t="s">
        <v>167</v>
      </c>
      <c r="M31" s="20"/>
    </row>
    <row r="32" spans="1:27" x14ac:dyDescent="0.2">
      <c r="A32" s="7" t="s">
        <v>32</v>
      </c>
      <c r="B32" s="27" t="s">
        <v>145</v>
      </c>
      <c r="C32" s="8" t="s">
        <v>113</v>
      </c>
      <c r="D32" s="1">
        <v>0</v>
      </c>
      <c r="E32" s="1">
        <v>0</v>
      </c>
      <c r="F32" s="1">
        <v>0</v>
      </c>
      <c r="G32" s="1">
        <v>30</v>
      </c>
      <c r="H32" s="1">
        <v>10</v>
      </c>
      <c r="I32" s="1">
        <v>0</v>
      </c>
      <c r="J32" s="8">
        <v>0</v>
      </c>
      <c r="K32" s="20"/>
      <c r="L32" s="20"/>
      <c r="M32" s="20"/>
    </row>
    <row r="33" spans="1:13" x14ac:dyDescent="0.2">
      <c r="A33" s="7" t="s">
        <v>32</v>
      </c>
      <c r="B33" s="25" t="s">
        <v>146</v>
      </c>
      <c r="C33" s="8" t="s">
        <v>113</v>
      </c>
      <c r="D33" s="1">
        <v>0</v>
      </c>
      <c r="E33" s="1">
        <v>0</v>
      </c>
      <c r="F33" s="1">
        <v>0</v>
      </c>
      <c r="G33" s="1">
        <v>0</v>
      </c>
      <c r="H33" s="1">
        <v>10</v>
      </c>
      <c r="I33" s="1">
        <v>0</v>
      </c>
      <c r="J33" s="8">
        <v>0</v>
      </c>
      <c r="K33" s="20" t="s">
        <v>168</v>
      </c>
      <c r="L33" s="20"/>
      <c r="M33" s="20"/>
    </row>
    <row r="34" spans="1:13" ht="17" thickBot="1" x14ac:dyDescent="0.25">
      <c r="A34" s="9" t="s">
        <v>32</v>
      </c>
      <c r="B34" s="26" t="s">
        <v>147</v>
      </c>
      <c r="C34" s="11" t="s">
        <v>113</v>
      </c>
      <c r="D34" s="10">
        <v>0</v>
      </c>
      <c r="E34" s="10">
        <v>0</v>
      </c>
      <c r="F34" s="10">
        <v>0</v>
      </c>
      <c r="G34" s="10">
        <v>0</v>
      </c>
      <c r="H34" s="10">
        <v>8</v>
      </c>
      <c r="I34" s="10">
        <v>8</v>
      </c>
      <c r="J34" s="11">
        <v>8</v>
      </c>
      <c r="K34" s="20"/>
      <c r="L34" s="20"/>
      <c r="M34" s="20"/>
    </row>
    <row r="35" spans="1:13" x14ac:dyDescent="0.2">
      <c r="A35" s="7" t="s">
        <v>32</v>
      </c>
      <c r="B35" s="27" t="s">
        <v>148</v>
      </c>
      <c r="C35" s="8" t="s">
        <v>114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8">
        <v>0</v>
      </c>
      <c r="K35" s="20"/>
      <c r="L35" s="20"/>
      <c r="M35" s="20"/>
    </row>
    <row r="36" spans="1:13" x14ac:dyDescent="0.2">
      <c r="A36" s="7" t="s">
        <v>32</v>
      </c>
      <c r="B36" s="27" t="s">
        <v>150</v>
      </c>
      <c r="C36" s="8" t="s">
        <v>114</v>
      </c>
      <c r="D36" s="1">
        <v>12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8">
        <v>0</v>
      </c>
      <c r="K36" s="20"/>
      <c r="L36" s="20"/>
      <c r="M36" s="20"/>
    </row>
    <row r="37" spans="1:13" x14ac:dyDescent="0.2">
      <c r="A37" s="7" t="s">
        <v>32</v>
      </c>
      <c r="B37" s="27" t="s">
        <v>151</v>
      </c>
      <c r="C37" s="8" t="s">
        <v>114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8">
        <v>0</v>
      </c>
      <c r="L37" s="20"/>
      <c r="M37" s="20"/>
    </row>
    <row r="38" spans="1:13" x14ac:dyDescent="0.2">
      <c r="A38" s="7" t="s">
        <v>32</v>
      </c>
      <c r="B38" s="27" t="s">
        <v>152</v>
      </c>
      <c r="C38" s="8" t="s">
        <v>114</v>
      </c>
      <c r="D38" s="1">
        <v>0</v>
      </c>
      <c r="E38" s="1">
        <v>20</v>
      </c>
      <c r="F38" s="1">
        <v>15</v>
      </c>
      <c r="G38" s="1">
        <v>0</v>
      </c>
      <c r="H38" s="1">
        <v>0</v>
      </c>
      <c r="I38" s="1">
        <v>0</v>
      </c>
      <c r="J38" s="8">
        <v>0</v>
      </c>
      <c r="K38" s="20"/>
      <c r="L38" s="20"/>
      <c r="M38" s="20"/>
    </row>
    <row r="39" spans="1:13" x14ac:dyDescent="0.2">
      <c r="A39" s="7" t="s">
        <v>32</v>
      </c>
      <c r="B39" s="27" t="s">
        <v>145</v>
      </c>
      <c r="C39" s="8" t="s">
        <v>114</v>
      </c>
      <c r="D39" s="1">
        <v>0</v>
      </c>
      <c r="E39" s="1">
        <v>0</v>
      </c>
      <c r="F39" s="1">
        <v>6</v>
      </c>
      <c r="G39" s="1">
        <v>10</v>
      </c>
      <c r="H39" s="1">
        <v>0</v>
      </c>
      <c r="I39" s="1">
        <v>0</v>
      </c>
      <c r="J39" s="8">
        <v>0</v>
      </c>
      <c r="K39" s="20"/>
      <c r="L39" s="20"/>
      <c r="M39" s="20"/>
    </row>
    <row r="40" spans="1:13" x14ac:dyDescent="0.2">
      <c r="A40" s="7" t="s">
        <v>32</v>
      </c>
      <c r="B40" s="25" t="s">
        <v>156</v>
      </c>
      <c r="C40" s="8" t="s">
        <v>114</v>
      </c>
      <c r="D40" s="1">
        <v>0</v>
      </c>
      <c r="E40" s="1">
        <v>0</v>
      </c>
      <c r="F40" s="1">
        <v>0</v>
      </c>
      <c r="G40" s="1">
        <v>0</v>
      </c>
      <c r="H40" s="1">
        <v>28</v>
      </c>
      <c r="I40" s="1">
        <v>0</v>
      </c>
      <c r="J40" s="8">
        <v>0</v>
      </c>
      <c r="K40" s="20"/>
      <c r="L40" s="20"/>
      <c r="M40" s="20"/>
    </row>
    <row r="41" spans="1:13" ht="17" thickBot="1" x14ac:dyDescent="0.25">
      <c r="A41" s="9" t="s">
        <v>32</v>
      </c>
      <c r="B41" s="26" t="s">
        <v>158</v>
      </c>
      <c r="C41" s="11" t="s">
        <v>114</v>
      </c>
      <c r="D41" s="10">
        <v>15</v>
      </c>
      <c r="E41" s="10">
        <v>10</v>
      </c>
      <c r="F41" s="10">
        <v>15</v>
      </c>
      <c r="G41" s="10">
        <v>10</v>
      </c>
      <c r="H41" s="10">
        <v>10</v>
      </c>
      <c r="I41" s="10">
        <v>24</v>
      </c>
      <c r="J41" s="11">
        <v>24</v>
      </c>
      <c r="K41" s="20"/>
      <c r="L41" s="20"/>
      <c r="M41" s="20"/>
    </row>
    <row r="42" spans="1:13" x14ac:dyDescent="0.2">
      <c r="A42" s="21" t="s">
        <v>32</v>
      </c>
      <c r="B42" s="28" t="s">
        <v>159</v>
      </c>
      <c r="C42" s="22" t="s">
        <v>160</v>
      </c>
      <c r="D42" s="23">
        <v>20</v>
      </c>
      <c r="E42" s="23">
        <v>10</v>
      </c>
      <c r="F42" s="23">
        <v>0</v>
      </c>
      <c r="G42" s="23">
        <v>0</v>
      </c>
      <c r="H42" s="23">
        <v>0</v>
      </c>
      <c r="I42" s="23">
        <v>0</v>
      </c>
      <c r="J42" s="22">
        <v>0</v>
      </c>
      <c r="K42" s="20"/>
      <c r="L42" s="20"/>
      <c r="M42" s="20"/>
    </row>
    <row r="43" spans="1:13" x14ac:dyDescent="0.2">
      <c r="A43" s="7" t="s">
        <v>32</v>
      </c>
      <c r="B43" s="27" t="s">
        <v>141</v>
      </c>
      <c r="C43" s="8" t="s">
        <v>160</v>
      </c>
      <c r="D43" s="1">
        <v>0</v>
      </c>
      <c r="E43" s="1">
        <v>12</v>
      </c>
      <c r="F43" s="1">
        <v>1</v>
      </c>
      <c r="G43" s="1">
        <v>0</v>
      </c>
      <c r="H43" s="1">
        <v>0</v>
      </c>
      <c r="I43" s="1">
        <v>0</v>
      </c>
      <c r="J43" s="8">
        <v>0</v>
      </c>
      <c r="K43" s="20"/>
      <c r="L43" s="20"/>
      <c r="M43" s="20"/>
    </row>
    <row r="44" spans="1:13" x14ac:dyDescent="0.2">
      <c r="A44" s="7" t="s">
        <v>32</v>
      </c>
      <c r="B44" s="27" t="s">
        <v>142</v>
      </c>
      <c r="C44" s="8" t="s">
        <v>160</v>
      </c>
      <c r="D44" s="1">
        <v>0</v>
      </c>
      <c r="E44" s="1">
        <v>0</v>
      </c>
      <c r="F44" s="1">
        <v>10</v>
      </c>
      <c r="G44" s="1">
        <v>0</v>
      </c>
      <c r="H44" s="1">
        <v>0</v>
      </c>
      <c r="I44" s="1">
        <v>0</v>
      </c>
      <c r="J44" s="8">
        <v>0</v>
      </c>
      <c r="K44" s="20"/>
      <c r="L44" s="20"/>
      <c r="M44" s="20"/>
    </row>
    <row r="45" spans="1:13" x14ac:dyDescent="0.2">
      <c r="A45" s="7" t="s">
        <v>32</v>
      </c>
      <c r="B45" s="27" t="s">
        <v>143</v>
      </c>
      <c r="C45" s="8" t="s">
        <v>160</v>
      </c>
      <c r="D45" s="1">
        <v>0</v>
      </c>
      <c r="E45" s="1">
        <v>0</v>
      </c>
      <c r="F45" s="1">
        <v>0</v>
      </c>
      <c r="G45" s="74">
        <v>0</v>
      </c>
      <c r="H45" s="1">
        <v>25</v>
      </c>
      <c r="I45" s="1">
        <v>0</v>
      </c>
      <c r="J45" s="8">
        <v>0</v>
      </c>
      <c r="K45" s="20"/>
      <c r="L45" s="20"/>
      <c r="M45" s="20"/>
    </row>
    <row r="46" spans="1:13" x14ac:dyDescent="0.2">
      <c r="A46" s="7" t="s">
        <v>32</v>
      </c>
      <c r="B46" s="27" t="s">
        <v>145</v>
      </c>
      <c r="C46" s="8" t="s">
        <v>160</v>
      </c>
      <c r="D46" s="1">
        <v>0</v>
      </c>
      <c r="E46" s="1">
        <v>0</v>
      </c>
      <c r="F46" s="1">
        <v>0</v>
      </c>
      <c r="G46" s="74">
        <v>0</v>
      </c>
      <c r="H46" s="74">
        <v>60</v>
      </c>
      <c r="I46" s="1">
        <v>0</v>
      </c>
      <c r="J46" s="8">
        <v>0</v>
      </c>
      <c r="K46" s="20"/>
      <c r="L46" s="20"/>
      <c r="M46" s="20"/>
    </row>
    <row r="47" spans="1:13" x14ac:dyDescent="0.2">
      <c r="A47" s="7" t="s">
        <v>32</v>
      </c>
      <c r="B47" s="25" t="s">
        <v>146</v>
      </c>
      <c r="C47" s="8" t="s">
        <v>160</v>
      </c>
      <c r="D47" s="1">
        <v>0</v>
      </c>
      <c r="E47" s="1">
        <v>0</v>
      </c>
      <c r="F47" s="1">
        <v>0</v>
      </c>
      <c r="G47" s="1">
        <v>0</v>
      </c>
      <c r="H47" s="60">
        <v>4</v>
      </c>
      <c r="I47" s="1">
        <v>0</v>
      </c>
      <c r="J47" s="8">
        <v>0</v>
      </c>
      <c r="K47" s="20"/>
      <c r="L47" s="20"/>
      <c r="M47" s="20"/>
    </row>
    <row r="48" spans="1:13" ht="17" thickBot="1" x14ac:dyDescent="0.25">
      <c r="A48" s="9" t="s">
        <v>32</v>
      </c>
      <c r="B48" s="26" t="s">
        <v>147</v>
      </c>
      <c r="C48" s="11" t="s">
        <v>160</v>
      </c>
      <c r="D48" s="10">
        <v>0</v>
      </c>
      <c r="E48" s="10">
        <v>0</v>
      </c>
      <c r="F48" s="10">
        <v>0</v>
      </c>
      <c r="G48" s="10">
        <v>0</v>
      </c>
      <c r="H48" s="61">
        <v>0</v>
      </c>
      <c r="I48" s="61">
        <v>20</v>
      </c>
      <c r="J48" s="62">
        <v>1</v>
      </c>
      <c r="K48" s="20"/>
      <c r="L48" s="20"/>
      <c r="M48" s="20"/>
    </row>
    <row r="49" spans="1:13" x14ac:dyDescent="0.2">
      <c r="A49" s="21" t="s">
        <v>32</v>
      </c>
      <c r="B49" s="28" t="s">
        <v>134</v>
      </c>
      <c r="C49" s="24" t="s">
        <v>123</v>
      </c>
      <c r="D49" s="23">
        <v>4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2">
        <v>0</v>
      </c>
      <c r="K49" s="20"/>
      <c r="L49" s="20"/>
      <c r="M49" s="20"/>
    </row>
    <row r="50" spans="1:13" ht="18" customHeight="1" x14ac:dyDescent="0.2">
      <c r="A50" s="7" t="s">
        <v>32</v>
      </c>
      <c r="B50" s="27" t="s">
        <v>141</v>
      </c>
      <c r="C50" s="25" t="s">
        <v>123</v>
      </c>
      <c r="D50" s="1">
        <v>20</v>
      </c>
      <c r="E50" s="1">
        <v>23</v>
      </c>
      <c r="F50" s="1">
        <v>0</v>
      </c>
      <c r="G50" s="1">
        <v>10</v>
      </c>
      <c r="H50" s="1">
        <v>0</v>
      </c>
      <c r="I50" s="1">
        <v>0</v>
      </c>
      <c r="J50" s="8">
        <v>0</v>
      </c>
      <c r="K50" s="20"/>
      <c r="L50" s="20"/>
      <c r="M50" s="20"/>
    </row>
    <row r="51" spans="1:13" x14ac:dyDescent="0.2">
      <c r="A51" s="7" t="s">
        <v>32</v>
      </c>
      <c r="B51" s="27" t="s">
        <v>143</v>
      </c>
      <c r="C51" s="25" t="s">
        <v>123</v>
      </c>
      <c r="D51" s="1">
        <v>0</v>
      </c>
      <c r="E51" s="1">
        <v>0</v>
      </c>
      <c r="F51" s="1">
        <v>0</v>
      </c>
      <c r="G51" s="1">
        <v>0</v>
      </c>
      <c r="H51" s="1">
        <v>25</v>
      </c>
      <c r="I51" s="1">
        <v>0</v>
      </c>
      <c r="J51" s="8">
        <v>0</v>
      </c>
      <c r="K51" s="20"/>
      <c r="L51" s="20"/>
      <c r="M51" s="20"/>
    </row>
    <row r="52" spans="1:13" x14ac:dyDescent="0.2">
      <c r="A52" s="7" t="s">
        <v>32</v>
      </c>
      <c r="B52" s="27" t="s">
        <v>145</v>
      </c>
      <c r="C52" s="25" t="s">
        <v>123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8">
        <v>0</v>
      </c>
      <c r="K52" s="20"/>
      <c r="L52" s="20"/>
      <c r="M52" s="20"/>
    </row>
    <row r="53" spans="1:13" x14ac:dyDescent="0.2">
      <c r="A53" s="7" t="s">
        <v>32</v>
      </c>
      <c r="B53" s="25" t="s">
        <v>146</v>
      </c>
      <c r="C53" s="25" t="s">
        <v>123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8">
        <v>0</v>
      </c>
      <c r="K53" s="20"/>
      <c r="L53" s="20"/>
      <c r="M53" s="20"/>
    </row>
    <row r="54" spans="1:13" ht="17" thickBot="1" x14ac:dyDescent="0.25">
      <c r="A54" s="9" t="s">
        <v>32</v>
      </c>
      <c r="B54" s="26" t="s">
        <v>147</v>
      </c>
      <c r="C54" s="26" t="s">
        <v>123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1">
        <v>0</v>
      </c>
      <c r="K54" s="20"/>
      <c r="L54" s="20"/>
      <c r="M54" s="20"/>
    </row>
    <row r="55" spans="1:13" x14ac:dyDescent="0.2">
      <c r="A55" s="7" t="s">
        <v>23</v>
      </c>
      <c r="B55" s="27" t="s">
        <v>164</v>
      </c>
      <c r="C55" s="8" t="s">
        <v>113</v>
      </c>
      <c r="D55">
        <v>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20"/>
      <c r="L55" s="20"/>
      <c r="M55" s="20"/>
    </row>
    <row r="56" spans="1:13" x14ac:dyDescent="0.2">
      <c r="A56" s="7" t="s">
        <v>23</v>
      </c>
      <c r="B56" s="27" t="s">
        <v>141</v>
      </c>
      <c r="C56" s="8" t="s">
        <v>113</v>
      </c>
      <c r="D56">
        <v>5</v>
      </c>
      <c r="E56">
        <v>10</v>
      </c>
      <c r="F56">
        <v>5</v>
      </c>
      <c r="G56">
        <v>0</v>
      </c>
      <c r="H56">
        <v>0</v>
      </c>
      <c r="I56">
        <v>0</v>
      </c>
      <c r="J56">
        <v>0</v>
      </c>
      <c r="K56" s="20"/>
      <c r="L56" s="20"/>
      <c r="M56" s="20"/>
    </row>
    <row r="57" spans="1:13" x14ac:dyDescent="0.2">
      <c r="A57" s="7" t="s">
        <v>23</v>
      </c>
      <c r="B57" s="27" t="s">
        <v>142</v>
      </c>
      <c r="C57" s="8" t="s">
        <v>113</v>
      </c>
      <c r="D57">
        <v>0</v>
      </c>
      <c r="E57">
        <v>0</v>
      </c>
      <c r="F57">
        <v>5</v>
      </c>
      <c r="G57">
        <v>15</v>
      </c>
      <c r="H57">
        <v>0</v>
      </c>
      <c r="I57">
        <v>0</v>
      </c>
      <c r="J57">
        <v>0</v>
      </c>
      <c r="K57" s="20"/>
      <c r="L57" s="20"/>
      <c r="M57" s="20"/>
    </row>
    <row r="58" spans="1:13" x14ac:dyDescent="0.2">
      <c r="A58" s="7" t="s">
        <v>23</v>
      </c>
      <c r="B58" s="27" t="s">
        <v>143</v>
      </c>
      <c r="C58" s="8" t="s">
        <v>113</v>
      </c>
      <c r="D58">
        <v>0</v>
      </c>
      <c r="E58">
        <v>0</v>
      </c>
      <c r="F58">
        <v>0</v>
      </c>
      <c r="G58">
        <v>15</v>
      </c>
      <c r="H58">
        <v>0</v>
      </c>
      <c r="I58">
        <v>0</v>
      </c>
      <c r="J58">
        <v>0</v>
      </c>
      <c r="K58" s="20" t="s">
        <v>169</v>
      </c>
      <c r="L58" s="20"/>
      <c r="M58" s="20"/>
    </row>
    <row r="59" spans="1:13" x14ac:dyDescent="0.2">
      <c r="A59" s="7" t="s">
        <v>23</v>
      </c>
      <c r="B59" s="27" t="s">
        <v>145</v>
      </c>
      <c r="C59" s="8" t="s">
        <v>113</v>
      </c>
      <c r="D59">
        <v>0</v>
      </c>
      <c r="E59">
        <v>0</v>
      </c>
      <c r="F59">
        <v>0</v>
      </c>
      <c r="G59">
        <v>20</v>
      </c>
      <c r="H59">
        <v>10</v>
      </c>
      <c r="I59">
        <v>0</v>
      </c>
      <c r="J59">
        <v>0</v>
      </c>
      <c r="K59" s="20" t="s">
        <v>170</v>
      </c>
      <c r="L59" s="20"/>
      <c r="M59" s="20"/>
    </row>
    <row r="60" spans="1:13" x14ac:dyDescent="0.2">
      <c r="A60" s="7" t="s">
        <v>23</v>
      </c>
      <c r="B60" s="25" t="s">
        <v>146</v>
      </c>
      <c r="C60" s="8" t="s">
        <v>113</v>
      </c>
      <c r="D60">
        <v>0</v>
      </c>
      <c r="E60">
        <v>0</v>
      </c>
      <c r="F60">
        <v>0</v>
      </c>
      <c r="G60">
        <v>0</v>
      </c>
      <c r="H60">
        <v>10</v>
      </c>
      <c r="I60">
        <v>0</v>
      </c>
      <c r="J60">
        <v>0</v>
      </c>
      <c r="K60" s="20"/>
      <c r="L60" s="20"/>
      <c r="M60" s="20"/>
    </row>
    <row r="61" spans="1:13" ht="17" thickBot="1" x14ac:dyDescent="0.25">
      <c r="A61" s="9" t="s">
        <v>23</v>
      </c>
      <c r="B61" s="26" t="s">
        <v>147</v>
      </c>
      <c r="C61" s="11" t="s">
        <v>113</v>
      </c>
      <c r="D61">
        <v>0</v>
      </c>
      <c r="E61">
        <v>0</v>
      </c>
      <c r="F61">
        <v>0</v>
      </c>
      <c r="G61">
        <v>0</v>
      </c>
      <c r="H61">
        <v>8</v>
      </c>
      <c r="I61">
        <v>8</v>
      </c>
      <c r="J61">
        <v>8</v>
      </c>
      <c r="K61" s="20"/>
      <c r="L61" s="20"/>
      <c r="M61" s="20"/>
    </row>
    <row r="62" spans="1:13" x14ac:dyDescent="0.2">
      <c r="A62" s="7" t="s">
        <v>23</v>
      </c>
      <c r="B62" s="27" t="s">
        <v>148</v>
      </c>
      <c r="C62" s="8" t="s">
        <v>114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8">
        <v>0</v>
      </c>
      <c r="K62" s="20"/>
      <c r="L62" s="20"/>
      <c r="M62" s="20"/>
    </row>
    <row r="63" spans="1:13" x14ac:dyDescent="0.2">
      <c r="A63" s="7" t="s">
        <v>23</v>
      </c>
      <c r="B63" s="27" t="s">
        <v>150</v>
      </c>
      <c r="C63" s="8" t="s">
        <v>114</v>
      </c>
      <c r="D63" s="1">
        <v>5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8">
        <v>0</v>
      </c>
      <c r="K63" s="20"/>
      <c r="L63" s="20"/>
      <c r="M63" s="20"/>
    </row>
    <row r="64" spans="1:13" x14ac:dyDescent="0.2">
      <c r="A64" s="7" t="s">
        <v>23</v>
      </c>
      <c r="B64" s="27" t="s">
        <v>151</v>
      </c>
      <c r="C64" s="8" t="s">
        <v>114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8">
        <v>0</v>
      </c>
      <c r="K64" s="20"/>
      <c r="L64" s="20"/>
      <c r="M64" s="20"/>
    </row>
    <row r="65" spans="1:13" x14ac:dyDescent="0.2">
      <c r="A65" s="7" t="s">
        <v>23</v>
      </c>
      <c r="B65" s="27" t="s">
        <v>152</v>
      </c>
      <c r="C65" s="8" t="s">
        <v>114</v>
      </c>
      <c r="D65" s="1">
        <v>0</v>
      </c>
      <c r="E65" s="1">
        <v>5</v>
      </c>
      <c r="F65" s="1">
        <v>5</v>
      </c>
      <c r="G65" s="1">
        <v>0</v>
      </c>
      <c r="H65" s="1">
        <v>0</v>
      </c>
      <c r="I65" s="1">
        <v>0</v>
      </c>
      <c r="J65" s="8">
        <v>0</v>
      </c>
      <c r="K65" s="20"/>
      <c r="L65" s="20"/>
      <c r="M65" s="20"/>
    </row>
    <row r="66" spans="1:13" x14ac:dyDescent="0.2">
      <c r="A66" s="7" t="s">
        <v>23</v>
      </c>
      <c r="B66" s="27" t="s">
        <v>145</v>
      </c>
      <c r="C66" s="8" t="s">
        <v>114</v>
      </c>
      <c r="D66" s="1">
        <v>0</v>
      </c>
      <c r="E66" s="1">
        <v>0</v>
      </c>
      <c r="F66" s="1">
        <v>0</v>
      </c>
      <c r="G66" s="1">
        <v>10</v>
      </c>
      <c r="H66" s="1">
        <v>0</v>
      </c>
      <c r="I66" s="1">
        <v>0</v>
      </c>
      <c r="J66" s="8">
        <v>0</v>
      </c>
      <c r="K66" s="20"/>
      <c r="L66" s="20"/>
      <c r="M66" s="20"/>
    </row>
    <row r="67" spans="1:13" x14ac:dyDescent="0.2">
      <c r="A67" s="7" t="s">
        <v>23</v>
      </c>
      <c r="B67" s="25" t="s">
        <v>156</v>
      </c>
      <c r="C67" s="8" t="s">
        <v>114</v>
      </c>
      <c r="D67" s="1">
        <v>0</v>
      </c>
      <c r="E67" s="1">
        <v>0</v>
      </c>
      <c r="F67" s="1">
        <v>0</v>
      </c>
      <c r="G67" s="1">
        <v>0</v>
      </c>
      <c r="H67" s="1">
        <v>19</v>
      </c>
      <c r="I67" s="1">
        <v>0</v>
      </c>
      <c r="J67" s="8">
        <v>0</v>
      </c>
      <c r="K67" s="20"/>
      <c r="L67" s="20"/>
      <c r="M67" s="20"/>
    </row>
    <row r="68" spans="1:13" ht="17" thickBot="1" x14ac:dyDescent="0.25">
      <c r="A68" s="9" t="s">
        <v>23</v>
      </c>
      <c r="B68" s="26" t="s">
        <v>158</v>
      </c>
      <c r="C68" s="11" t="s">
        <v>114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11</v>
      </c>
      <c r="J68" s="11">
        <v>1</v>
      </c>
      <c r="K68" s="20"/>
      <c r="L68" s="20"/>
      <c r="M68" s="20"/>
    </row>
    <row r="69" spans="1:13" x14ac:dyDescent="0.2">
      <c r="A69" s="21" t="s">
        <v>23</v>
      </c>
      <c r="B69" s="28" t="s">
        <v>159</v>
      </c>
      <c r="C69" s="22" t="s">
        <v>160</v>
      </c>
      <c r="D69" s="23">
        <v>10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2">
        <v>0</v>
      </c>
      <c r="K69" s="20"/>
      <c r="L69" s="20"/>
      <c r="M69" s="20"/>
    </row>
    <row r="70" spans="1:13" x14ac:dyDescent="0.2">
      <c r="A70" s="7" t="s">
        <v>23</v>
      </c>
      <c r="B70" s="27" t="s">
        <v>141</v>
      </c>
      <c r="C70" s="8" t="s">
        <v>160</v>
      </c>
      <c r="D70" s="1">
        <v>0</v>
      </c>
      <c r="E70" s="1">
        <v>12</v>
      </c>
      <c r="F70" s="1">
        <v>1</v>
      </c>
      <c r="G70" s="1">
        <v>0</v>
      </c>
      <c r="H70" s="1">
        <v>0</v>
      </c>
      <c r="I70" s="1">
        <v>0</v>
      </c>
      <c r="J70" s="8">
        <v>0</v>
      </c>
      <c r="K70" s="20"/>
      <c r="L70" s="20"/>
      <c r="M70" s="20"/>
    </row>
    <row r="71" spans="1:13" x14ac:dyDescent="0.2">
      <c r="A71" s="7" t="s">
        <v>23</v>
      </c>
      <c r="B71" s="27" t="s">
        <v>142</v>
      </c>
      <c r="C71" s="8" t="s">
        <v>160</v>
      </c>
      <c r="D71" s="1">
        <v>0</v>
      </c>
      <c r="E71" s="1">
        <v>0</v>
      </c>
      <c r="F71" s="1">
        <v>10</v>
      </c>
      <c r="G71" s="1">
        <v>0</v>
      </c>
      <c r="H71" s="1">
        <v>0</v>
      </c>
      <c r="I71" s="1">
        <v>0</v>
      </c>
      <c r="J71" s="8">
        <v>0</v>
      </c>
      <c r="K71" s="20"/>
      <c r="L71" s="20"/>
      <c r="M71" s="20"/>
    </row>
    <row r="72" spans="1:13" x14ac:dyDescent="0.2">
      <c r="A72" s="7" t="s">
        <v>23</v>
      </c>
      <c r="B72" s="27" t="s">
        <v>143</v>
      </c>
      <c r="C72" s="8" t="s">
        <v>160</v>
      </c>
      <c r="D72" s="1">
        <v>0</v>
      </c>
      <c r="E72" s="1">
        <v>0</v>
      </c>
      <c r="F72" s="1">
        <v>0</v>
      </c>
      <c r="G72" s="74">
        <v>0</v>
      </c>
      <c r="H72" s="1">
        <v>25</v>
      </c>
      <c r="I72" s="1">
        <v>0</v>
      </c>
      <c r="J72" s="8">
        <v>0</v>
      </c>
      <c r="K72" s="20"/>
      <c r="L72" s="20"/>
      <c r="M72" s="20"/>
    </row>
    <row r="73" spans="1:13" x14ac:dyDescent="0.2">
      <c r="A73" s="7" t="s">
        <v>23</v>
      </c>
      <c r="B73" s="27" t="s">
        <v>145</v>
      </c>
      <c r="C73" s="8" t="s">
        <v>160</v>
      </c>
      <c r="D73" s="1">
        <v>0</v>
      </c>
      <c r="E73" s="1">
        <v>0</v>
      </c>
      <c r="F73" s="1">
        <v>0</v>
      </c>
      <c r="G73" s="74">
        <v>0</v>
      </c>
      <c r="H73" s="74">
        <v>60</v>
      </c>
      <c r="I73" s="1">
        <v>0</v>
      </c>
      <c r="J73" s="8">
        <v>0</v>
      </c>
      <c r="K73" s="20"/>
      <c r="L73" s="20"/>
      <c r="M73" s="20"/>
    </row>
    <row r="74" spans="1:13" x14ac:dyDescent="0.2">
      <c r="A74" s="7" t="s">
        <v>23</v>
      </c>
      <c r="B74" s="25" t="s">
        <v>146</v>
      </c>
      <c r="C74" s="8" t="s">
        <v>160</v>
      </c>
      <c r="D74" s="1">
        <v>0</v>
      </c>
      <c r="E74" s="1">
        <v>0</v>
      </c>
      <c r="F74" s="1">
        <v>0</v>
      </c>
      <c r="G74" s="1">
        <v>0</v>
      </c>
      <c r="H74" s="60">
        <v>4</v>
      </c>
      <c r="I74" s="1">
        <v>0</v>
      </c>
      <c r="J74" s="8">
        <v>0</v>
      </c>
      <c r="K74" s="20"/>
      <c r="L74" s="20"/>
      <c r="M74" s="20"/>
    </row>
    <row r="75" spans="1:13" ht="17" thickBot="1" x14ac:dyDescent="0.25">
      <c r="A75" s="9" t="s">
        <v>23</v>
      </c>
      <c r="B75" s="26" t="s">
        <v>147</v>
      </c>
      <c r="C75" s="8" t="s">
        <v>160</v>
      </c>
      <c r="D75" s="10">
        <v>0</v>
      </c>
      <c r="E75" s="10">
        <v>0</v>
      </c>
      <c r="F75" s="10">
        <v>0</v>
      </c>
      <c r="G75" s="10">
        <v>0</v>
      </c>
      <c r="H75" s="61">
        <v>0</v>
      </c>
      <c r="I75" s="61">
        <v>20</v>
      </c>
      <c r="J75" s="62">
        <v>1</v>
      </c>
      <c r="K75" s="20"/>
      <c r="L75" s="20"/>
      <c r="M75" s="20"/>
    </row>
    <row r="76" spans="1:13" x14ac:dyDescent="0.2">
      <c r="A76" s="21" t="s">
        <v>23</v>
      </c>
      <c r="B76" s="28" t="s">
        <v>134</v>
      </c>
      <c r="C76" s="24" t="s">
        <v>123</v>
      </c>
      <c r="D76" s="23">
        <v>4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2">
        <v>0</v>
      </c>
      <c r="K76" s="20"/>
      <c r="L76" s="20"/>
      <c r="M76" s="20"/>
    </row>
    <row r="77" spans="1:13" x14ac:dyDescent="0.2">
      <c r="A77" s="7" t="s">
        <v>23</v>
      </c>
      <c r="B77" s="27" t="s">
        <v>141</v>
      </c>
      <c r="C77" s="25" t="s">
        <v>123</v>
      </c>
      <c r="D77" s="1">
        <v>20</v>
      </c>
      <c r="E77" s="1">
        <v>23</v>
      </c>
      <c r="F77" s="1">
        <v>0</v>
      </c>
      <c r="G77" s="1">
        <v>10</v>
      </c>
      <c r="H77" s="1">
        <v>0</v>
      </c>
      <c r="I77" s="1">
        <v>0</v>
      </c>
      <c r="J77" s="8">
        <v>0</v>
      </c>
      <c r="K77" s="20"/>
      <c r="L77" s="20"/>
      <c r="M77" s="20"/>
    </row>
    <row r="78" spans="1:13" x14ac:dyDescent="0.2">
      <c r="A78" s="7" t="s">
        <v>23</v>
      </c>
      <c r="B78" s="27" t="s">
        <v>143</v>
      </c>
      <c r="C78" s="25" t="s">
        <v>123</v>
      </c>
      <c r="D78" s="1">
        <v>0</v>
      </c>
      <c r="E78" s="1">
        <v>0</v>
      </c>
      <c r="F78" s="1">
        <v>0</v>
      </c>
      <c r="G78" s="1">
        <v>0</v>
      </c>
      <c r="H78" s="1">
        <v>25</v>
      </c>
      <c r="I78" s="1">
        <v>0</v>
      </c>
      <c r="J78" s="8">
        <v>0</v>
      </c>
      <c r="K78" s="20"/>
      <c r="L78" s="20"/>
      <c r="M78" s="20"/>
    </row>
    <row r="79" spans="1:13" x14ac:dyDescent="0.2">
      <c r="A79" s="7" t="s">
        <v>23</v>
      </c>
      <c r="B79" s="27" t="s">
        <v>145</v>
      </c>
      <c r="C79" s="25" t="s">
        <v>123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8">
        <v>0</v>
      </c>
      <c r="K79" s="20"/>
      <c r="L79" s="20"/>
      <c r="M79" s="20"/>
    </row>
    <row r="80" spans="1:13" x14ac:dyDescent="0.2">
      <c r="A80" s="7" t="s">
        <v>23</v>
      </c>
      <c r="B80" s="25" t="s">
        <v>146</v>
      </c>
      <c r="C80" s="25" t="s">
        <v>123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8">
        <v>0</v>
      </c>
      <c r="K80" s="20"/>
      <c r="L80" s="20"/>
      <c r="M80" s="20"/>
    </row>
    <row r="81" spans="1:13" ht="17" thickBot="1" x14ac:dyDescent="0.25">
      <c r="A81" s="7" t="s">
        <v>23</v>
      </c>
      <c r="B81" s="25" t="s">
        <v>147</v>
      </c>
      <c r="C81" s="25" t="s">
        <v>123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1">
        <v>0</v>
      </c>
      <c r="K81" s="20"/>
      <c r="L81" s="20"/>
      <c r="M81" s="20"/>
    </row>
    <row r="82" spans="1:13" x14ac:dyDescent="0.2">
      <c r="A82" s="21" t="s">
        <v>85</v>
      </c>
      <c r="B82" s="28" t="s">
        <v>171</v>
      </c>
      <c r="C82" s="24" t="s">
        <v>113</v>
      </c>
      <c r="D82" s="21">
        <v>10</v>
      </c>
      <c r="E82" s="23">
        <v>10</v>
      </c>
      <c r="F82" s="23">
        <v>5</v>
      </c>
      <c r="G82" s="23">
        <v>0</v>
      </c>
      <c r="H82" s="23">
        <v>0</v>
      </c>
      <c r="I82" s="23">
        <v>0</v>
      </c>
      <c r="J82" s="22">
        <v>0</v>
      </c>
      <c r="K82" s="20"/>
      <c r="L82" s="20"/>
      <c r="M82" s="20"/>
    </row>
    <row r="83" spans="1:13" x14ac:dyDescent="0.2">
      <c r="A83" s="7" t="s">
        <v>85</v>
      </c>
      <c r="B83" s="27" t="s">
        <v>172</v>
      </c>
      <c r="C83" s="25" t="s">
        <v>113</v>
      </c>
      <c r="D83" s="7">
        <v>5</v>
      </c>
      <c r="E83" s="1">
        <v>20</v>
      </c>
      <c r="F83" s="1">
        <v>5</v>
      </c>
      <c r="G83" s="1">
        <v>40</v>
      </c>
      <c r="H83" s="1">
        <v>40</v>
      </c>
      <c r="I83" s="1">
        <v>0</v>
      </c>
      <c r="J83" s="8">
        <v>0</v>
      </c>
      <c r="K83" s="20"/>
      <c r="L83" s="20"/>
      <c r="M83" s="20"/>
    </row>
    <row r="84" spans="1:13" ht="17" thickBot="1" x14ac:dyDescent="0.25">
      <c r="A84" s="9" t="s">
        <v>85</v>
      </c>
      <c r="B84" s="29" t="s">
        <v>173</v>
      </c>
      <c r="C84" s="26" t="s">
        <v>113</v>
      </c>
      <c r="D84" s="9">
        <v>0</v>
      </c>
      <c r="E84" s="10">
        <v>0</v>
      </c>
      <c r="F84" s="10">
        <v>0</v>
      </c>
      <c r="G84" s="10">
        <v>0</v>
      </c>
      <c r="H84" s="10">
        <v>0</v>
      </c>
      <c r="I84" s="10">
        <v>10</v>
      </c>
      <c r="J84" s="11">
        <v>5</v>
      </c>
      <c r="K84" s="20"/>
      <c r="L84" s="20"/>
      <c r="M84" s="20"/>
    </row>
    <row r="85" spans="1:13" x14ac:dyDescent="0.2">
      <c r="A85" s="7" t="s">
        <v>85</v>
      </c>
      <c r="B85" s="27" t="s">
        <v>171</v>
      </c>
      <c r="C85" s="25" t="s">
        <v>114</v>
      </c>
      <c r="D85" s="7">
        <v>20</v>
      </c>
      <c r="E85" s="1">
        <v>10</v>
      </c>
      <c r="F85" s="1">
        <v>0</v>
      </c>
      <c r="G85" s="1">
        <v>0</v>
      </c>
      <c r="H85" s="1">
        <v>0</v>
      </c>
      <c r="I85" s="1">
        <v>0</v>
      </c>
      <c r="J85" s="8">
        <v>0</v>
      </c>
      <c r="K85" s="20"/>
      <c r="L85" s="20"/>
      <c r="M85" s="20"/>
    </row>
    <row r="86" spans="1:13" x14ac:dyDescent="0.2">
      <c r="A86" s="7" t="s">
        <v>85</v>
      </c>
      <c r="B86" s="27" t="s">
        <v>172</v>
      </c>
      <c r="C86" s="25" t="s">
        <v>114</v>
      </c>
      <c r="D86" s="1">
        <v>0</v>
      </c>
      <c r="E86" s="1">
        <v>0</v>
      </c>
      <c r="F86" s="1">
        <v>20</v>
      </c>
      <c r="G86" s="1">
        <v>5</v>
      </c>
      <c r="H86" s="1">
        <v>60</v>
      </c>
      <c r="I86" s="1">
        <v>0</v>
      </c>
      <c r="J86" s="8">
        <v>0</v>
      </c>
    </row>
    <row r="87" spans="1:13" x14ac:dyDescent="0.2">
      <c r="A87" s="7" t="s">
        <v>85</v>
      </c>
      <c r="B87" s="27" t="s">
        <v>173</v>
      </c>
      <c r="C87" s="25" t="s">
        <v>114</v>
      </c>
      <c r="D87" s="1">
        <v>0</v>
      </c>
      <c r="E87" s="1">
        <v>0</v>
      </c>
      <c r="F87" s="1"/>
      <c r="G87" s="1">
        <v>0</v>
      </c>
      <c r="H87" s="1">
        <v>0</v>
      </c>
      <c r="I87" s="1">
        <v>20</v>
      </c>
      <c r="J87" s="8">
        <v>10</v>
      </c>
    </row>
    <row r="88" spans="1:13" x14ac:dyDescent="0.2">
      <c r="A88" s="1"/>
      <c r="C88" s="1"/>
      <c r="D88" s="1"/>
      <c r="E88" s="1"/>
      <c r="F88" s="1"/>
      <c r="G88" s="1"/>
      <c r="H88" s="1"/>
      <c r="I88" s="1"/>
      <c r="J88" s="1"/>
    </row>
    <row r="89" spans="1:13" x14ac:dyDescent="0.2">
      <c r="A89" s="1"/>
      <c r="C89" s="1"/>
      <c r="D89" s="1"/>
      <c r="E89" s="1"/>
      <c r="F89" s="1"/>
      <c r="G89" s="1"/>
      <c r="H89" s="1"/>
      <c r="I89" s="1"/>
      <c r="J89" s="1"/>
    </row>
    <row r="90" spans="1:13" x14ac:dyDescent="0.2">
      <c r="A90" s="1"/>
      <c r="C90" s="1"/>
      <c r="D90" s="1"/>
      <c r="E90" s="1"/>
      <c r="F90" s="1"/>
      <c r="G90" s="1"/>
      <c r="H90" s="1"/>
      <c r="I90" s="1"/>
      <c r="J90" s="1"/>
    </row>
    <row r="91" spans="1:13" x14ac:dyDescent="0.2">
      <c r="A91" s="1"/>
      <c r="C91" s="1"/>
      <c r="D91" s="1"/>
      <c r="E91" s="1"/>
      <c r="F91" s="1"/>
      <c r="G91" s="1"/>
      <c r="H91" s="1"/>
      <c r="I91" s="1"/>
      <c r="J91" s="1"/>
    </row>
    <row r="92" spans="1:13" x14ac:dyDescent="0.2">
      <c r="A92" s="1"/>
      <c r="C92" s="1"/>
      <c r="D92" s="1"/>
      <c r="E92" s="1"/>
      <c r="F92" s="1"/>
      <c r="G92" s="1"/>
      <c r="H92" s="1"/>
      <c r="I92" s="1"/>
      <c r="J92" s="1"/>
    </row>
    <row r="93" spans="1:13" x14ac:dyDescent="0.2">
      <c r="A93" s="1"/>
      <c r="C93" s="1"/>
      <c r="D93" s="1"/>
      <c r="E93" s="1"/>
      <c r="F93" s="1"/>
      <c r="G93" s="1"/>
      <c r="H93" s="1"/>
      <c r="I93" s="1"/>
      <c r="J93" s="1"/>
    </row>
    <row r="94" spans="1:13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3" x14ac:dyDescent="0.2">
      <c r="A95" s="1"/>
      <c r="B95" s="1"/>
      <c r="C95" s="1"/>
      <c r="D95" s="1"/>
      <c r="E95" s="1"/>
      <c r="F95" s="1"/>
      <c r="G95" s="1"/>
      <c r="H95" s="1"/>
      <c r="I95" s="1"/>
      <c r="J95" s="1"/>
    </row>
  </sheetData>
  <conditionalFormatting sqref="D2:J54 D62:J95">
    <cfRule type="cellIs" dxfId="1" priority="1" operator="greaterThan">
      <formula>0</formula>
    </cfRule>
  </conditionalFormatting>
  <conditionalFormatting sqref="K3:L7">
    <cfRule type="cellIs" dxfId="0" priority="6" operator="greaterThan">
      <formula>0</formula>
    </cfRule>
  </conditionalFormatting>
  <pageMargins left="0.7" right="0.7" top="0.75" bottom="0.75" header="0.3" footer="0.3"/>
  <ignoredErrors>
    <ignoredError sqref="K1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9189-71C6-1A4D-8254-084482F66B2C}">
  <dimension ref="A1:CQ109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D16" sqref="D16"/>
    </sheetView>
  </sheetViews>
  <sheetFormatPr baseColWidth="10" defaultColWidth="11" defaultRowHeight="16" x14ac:dyDescent="0.2"/>
  <cols>
    <col min="1" max="1" width="44.83203125" bestFit="1" customWidth="1"/>
    <col min="2" max="2" width="42.1640625" bestFit="1" customWidth="1"/>
    <col min="4" max="5" width="19" bestFit="1" customWidth="1"/>
    <col min="6" max="6" width="22.83203125" bestFit="1" customWidth="1"/>
    <col min="7" max="7" width="22.83203125" customWidth="1"/>
    <col min="8" max="8" width="20.5" bestFit="1" customWidth="1"/>
    <col min="9" max="9" width="20.5" customWidth="1"/>
    <col min="10" max="11" width="11" style="5"/>
    <col min="12" max="12" width="22.83203125" bestFit="1" customWidth="1"/>
    <col min="13" max="13" width="28.1640625" bestFit="1" customWidth="1"/>
    <col min="14" max="14" width="12.5" bestFit="1" customWidth="1"/>
    <col min="15" max="15" width="16.33203125" style="3" bestFit="1" customWidth="1"/>
    <col min="16" max="16" width="16.33203125" style="3" customWidth="1"/>
    <col min="17" max="17" width="8" style="19" bestFit="1" customWidth="1"/>
    <col min="18" max="19" width="12.6640625" style="19" bestFit="1" customWidth="1"/>
    <col min="20" max="20" width="17.5" style="19" bestFit="1" customWidth="1"/>
    <col min="21" max="21" width="9.83203125" style="3" bestFit="1" customWidth="1"/>
    <col min="22" max="22" width="9.83203125" style="3" customWidth="1"/>
    <col min="24" max="25" width="14.1640625" bestFit="1" customWidth="1"/>
    <col min="26" max="26" width="17" bestFit="1" customWidth="1"/>
    <col min="27" max="27" width="18.33203125" bestFit="1" customWidth="1"/>
    <col min="28" max="28" width="17.1640625" bestFit="1" customWidth="1"/>
    <col min="29" max="30" width="13.83203125" bestFit="1" customWidth="1"/>
    <col min="31" max="32" width="13.1640625" bestFit="1" customWidth="1"/>
    <col min="33" max="37" width="14.1640625" bestFit="1" customWidth="1"/>
    <col min="38" max="38" width="13.1640625" bestFit="1" customWidth="1"/>
    <col min="39" max="39" width="13.83203125" bestFit="1" customWidth="1"/>
    <col min="40" max="40" width="14.1640625" style="4" bestFit="1" customWidth="1"/>
    <col min="41" max="41" width="13.83203125" style="4" bestFit="1" customWidth="1"/>
    <col min="42" max="42" width="13.83203125" bestFit="1" customWidth="1"/>
    <col min="43" max="44" width="14.1640625" bestFit="1" customWidth="1"/>
    <col min="45" max="45" width="13.83203125" bestFit="1" customWidth="1"/>
    <col min="46" max="47" width="14.1640625" bestFit="1" customWidth="1"/>
    <col min="48" max="48" width="6.5" bestFit="1" customWidth="1"/>
    <col min="49" max="49" width="6.83203125" bestFit="1" customWidth="1"/>
    <col min="50" max="50" width="7" bestFit="1" customWidth="1"/>
    <col min="51" max="51" width="6.6640625" bestFit="1" customWidth="1"/>
    <col min="52" max="52" width="7.1640625" bestFit="1" customWidth="1"/>
    <col min="53" max="53" width="6.5" bestFit="1" customWidth="1"/>
    <col min="54" max="54" width="6" bestFit="1" customWidth="1"/>
    <col min="55" max="55" width="7" bestFit="1" customWidth="1"/>
    <col min="56" max="57" width="6.83203125" bestFit="1" customWidth="1"/>
    <col min="58" max="58" width="7" bestFit="1" customWidth="1"/>
    <col min="59" max="59" width="7.1640625" bestFit="1" customWidth="1"/>
    <col min="60" max="60" width="6.5" bestFit="1" customWidth="1"/>
    <col min="61" max="61" width="6.83203125" bestFit="1" customWidth="1"/>
    <col min="62" max="62" width="7" bestFit="1" customWidth="1"/>
    <col min="63" max="63" width="6.6640625" bestFit="1" customWidth="1"/>
    <col min="64" max="64" width="7.1640625" bestFit="1" customWidth="1"/>
    <col min="65" max="65" width="6.5" bestFit="1" customWidth="1"/>
    <col min="66" max="66" width="6" bestFit="1" customWidth="1"/>
    <col min="67" max="67" width="7" bestFit="1" customWidth="1"/>
    <col min="68" max="69" width="6.83203125" bestFit="1" customWidth="1"/>
    <col min="70" max="70" width="7" bestFit="1" customWidth="1"/>
    <col min="71" max="71" width="7.1640625" bestFit="1" customWidth="1"/>
  </cols>
  <sheetData>
    <row r="1" spans="1:95" s="40" customFormat="1" ht="5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174</v>
      </c>
      <c r="H1" s="14" t="s">
        <v>175</v>
      </c>
      <c r="I1" s="14" t="s">
        <v>122</v>
      </c>
      <c r="J1" s="15" t="s">
        <v>7</v>
      </c>
      <c r="K1" s="15" t="s">
        <v>8</v>
      </c>
      <c r="L1" s="12" t="s">
        <v>176</v>
      </c>
      <c r="M1" s="12" t="s">
        <v>9</v>
      </c>
      <c r="N1" s="15" t="s">
        <v>10</v>
      </c>
      <c r="O1" s="12" t="s">
        <v>13</v>
      </c>
      <c r="P1" s="12" t="s">
        <v>216</v>
      </c>
      <c r="Q1" s="17" t="s">
        <v>13</v>
      </c>
      <c r="R1" s="17" t="s">
        <v>14</v>
      </c>
      <c r="S1" s="17" t="s">
        <v>15</v>
      </c>
      <c r="T1" s="17" t="s">
        <v>16</v>
      </c>
      <c r="U1" s="13" t="s">
        <v>17</v>
      </c>
      <c r="V1" s="13" t="s">
        <v>691</v>
      </c>
      <c r="W1" s="16" t="s">
        <v>18</v>
      </c>
      <c r="X1" s="39" t="s">
        <v>686</v>
      </c>
      <c r="Y1" s="59" t="s">
        <v>677</v>
      </c>
      <c r="Z1" s="59" t="s">
        <v>678</v>
      </c>
      <c r="AA1" s="59" t="s">
        <v>679</v>
      </c>
      <c r="AB1" s="59" t="s">
        <v>680</v>
      </c>
      <c r="AC1" s="59" t="s">
        <v>687</v>
      </c>
      <c r="AD1" s="59" t="s">
        <v>688</v>
      </c>
      <c r="AE1" s="59" t="s">
        <v>689</v>
      </c>
      <c r="AF1" s="59" t="s">
        <v>690</v>
      </c>
      <c r="AG1" s="57" t="s">
        <v>127</v>
      </c>
      <c r="AH1" s="57" t="s">
        <v>128</v>
      </c>
      <c r="AI1" s="57" t="s">
        <v>129</v>
      </c>
      <c r="AJ1" s="57" t="s">
        <v>130</v>
      </c>
      <c r="AK1" s="57" t="s">
        <v>131</v>
      </c>
      <c r="AL1" s="56" t="s">
        <v>132</v>
      </c>
      <c r="AM1" s="56" t="s">
        <v>133</v>
      </c>
      <c r="AN1" s="76"/>
      <c r="AO1" s="76"/>
      <c r="AP1" s="39"/>
      <c r="AQ1" s="39"/>
      <c r="AR1" s="39"/>
      <c r="AS1"/>
      <c r="AT1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</row>
    <row r="2" spans="1:95" x14ac:dyDescent="0.2">
      <c r="A2" t="s">
        <v>716</v>
      </c>
      <c r="B2" t="s">
        <v>19</v>
      </c>
      <c r="C2" t="s">
        <v>23</v>
      </c>
      <c r="D2" t="s">
        <v>694</v>
      </c>
      <c r="E2" t="s">
        <v>222</v>
      </c>
      <c r="F2" t="s">
        <v>180</v>
      </c>
      <c r="I2" t="str">
        <f>IFERROR(INDEX('Customer 360'!F:F,MATCH(B2,'Customer 360'!A:A,0)),"-")</f>
        <v>D</v>
      </c>
      <c r="J2">
        <v>3000</v>
      </c>
      <c r="K2"/>
      <c r="L2" s="4">
        <v>46258</v>
      </c>
      <c r="M2" s="4">
        <v>46258</v>
      </c>
      <c r="N2">
        <v>2026</v>
      </c>
      <c r="O2" s="4">
        <v>46082</v>
      </c>
      <c r="P2" t="s">
        <v>217</v>
      </c>
      <c r="Q2" s="18">
        <f t="shared" ref="Q2:Q64" si="0">O2</f>
        <v>46082</v>
      </c>
      <c r="R2" s="18">
        <f>IFERROR(IF(M2&lt;&gt;"",M2,IF(L2&lt;&gt;"",L2,INDEX('CSM RDD'!B:B,MATCH(B2,'CSM RDD'!A:A,0)))),"-")</f>
        <v>46258</v>
      </c>
      <c r="S2" s="18">
        <f>IFERROR(EOMONTH(Q2,-1)+1,"")</f>
        <v>46082</v>
      </c>
      <c r="T2" s="18">
        <f>IFERROR(EOMONTH(R2,-1)+1,"")</f>
        <v>46235</v>
      </c>
      <c r="U2" s="6">
        <f t="shared" ref="U2:U22" si="1">J2+K2</f>
        <v>3000</v>
      </c>
      <c r="V2" s="18">
        <f t="shared" ref="V2:V33" si="2">IF(C2&lt;&gt;"Validate",DATE(2026,3,1),O2)</f>
        <v>46082</v>
      </c>
      <c r="W2">
        <f>IF(U2=0,1,IF(U2&lt;='Demand Base Matrix'!$K$3,'Demand Base Matrix'!$L$3,IF(U2&lt;='Demand Base Matrix'!$K$4,'Demand Base Matrix'!$L$4,IF(U2&lt;='Demand Base Matrix'!$K$5,'Demand Base Matrix'!$L$5,IF(U2&lt;='Demand Base Matrix'!$K$6,'Demand Base Matrix'!$L$6,IF(U2&lt;='Demand Base Matrix'!$K$7,'Demand Base Matrix'!$L$7))))))</f>
        <v>1</v>
      </c>
      <c r="X2" s="4">
        <f>DATE(YEAR(R2),MONTH(R2),1)</f>
        <v>46235</v>
      </c>
      <c r="Y2" t="str">
        <f t="shared" ref="Y2:Y22" si="3">IF(K2&gt;0,"Tx","Dx")</f>
        <v>Dx</v>
      </c>
      <c r="Z2" t="s">
        <v>685</v>
      </c>
      <c r="AA2" t="s">
        <v>685</v>
      </c>
      <c r="AB2" t="s">
        <v>685</v>
      </c>
      <c r="AC2">
        <f>IFERROR(INDEX('Demand Base Matrix'!AM:AM,MATCH(Y2,'Demand Base Matrix'!AL:AL,0)),1)</f>
        <v>1</v>
      </c>
      <c r="AD2">
        <f>IFERROR(INDEX('Demand Base Matrix'!AO:AO,MATCH(Z2,'Demand Base Matrix'!AN:AN,0)),1)</f>
        <v>1</v>
      </c>
      <c r="AE2">
        <f>IFERROR(INDEX('Demand Base Matrix'!AQ:AQ,MATCH(AA2,'Demand Base Matrix'!AP:AP,0)),1)</f>
        <v>1</v>
      </c>
      <c r="AF2">
        <f>IFERROR(INDEX('Demand Base Matrix'!AS:AS,MATCH(AB2,'Demand Base Matrix'!AR:AR,0)),1)</f>
        <v>1</v>
      </c>
      <c r="AG2">
        <f>IF($C2="Validate",(('Demand Base Matrix'!D$2+'Demand Base Matrix'!D$6)*$AC$2*$AD$2*$AE$2+('Demand Base Matrix'!D$3+'Demand Base Matrix'!D$4)*$W$2*$AD$2+'Demand Base Matrix'!D$5*$W$2*$AD$2*$AE$2+'Demand Base Matrix'!D$7+'Demand Base Matrix'!D$8*$AF$2),IF($C2="Integrate",(('Demand Base Matrix'!D$28+'Demand Base Matrix'!D$32)*$AC$2*$AD$2*$AE$2+('Demand Base Matrix'!D$29+'Demand Base Matrix'!D$30)*$W$2*$AD$2+'Demand Base Matrix'!D$31*$W$2*$AD$2*$AE$2+'Demand Base Matrix'!D$33+'Demand Base Matrix'!D$34*$AF$2),IF($C2="Bond",(('Demand Base Matrix'!D$55+'Demand Base Matrix'!D$59)*$AC$2*$AD$2*$AE$2+('Demand Base Matrix'!D$56+'Demand Base Matrix'!D$57)*$W$2*$AD$2+'Demand Base Matrix'!D$58*$W$2*$AD$2*$AE$2+'Demand Base Matrix'!D$60+'Demand Base Matrix'!D$61*$AF$2),IF($C2="Explore",('Demand Base Matrix'!D$82*$AC$2*$AD$2*$AE$2*$AF$2+'Demand Base Matrix'!D$83*$W$2*$AC$2*$AD$2*$AE$2*$AF$2+'Demand Base Matrix'!D$84)))))</f>
        <v>10</v>
      </c>
      <c r="AH2">
        <f>IF($C2="Validate",(('Demand Base Matrix'!E$2+'Demand Base Matrix'!E$6)*$AC$2*$AD$2*$AE$2+('Demand Base Matrix'!E$3+'Demand Base Matrix'!E$4)*$W$2*$AD$2+'Demand Base Matrix'!E$5*$W$2*$AD$2*$AE$2+'Demand Base Matrix'!E$7+'Demand Base Matrix'!E$8*$AF$2),IF($C2="Integrate",(('Demand Base Matrix'!E$28+'Demand Base Matrix'!E$32)*$AC$2*$AD$2*$AE$2+('Demand Base Matrix'!E$29+'Demand Base Matrix'!E$30)*$W$2*$AD$2+'Demand Base Matrix'!E$31*$W$2*$AD$2*$AE$2+'Demand Base Matrix'!E$33+'Demand Base Matrix'!E$34*$AF$2),IF($C2="Bond",(('Demand Base Matrix'!E$55+'Demand Base Matrix'!E$59)*$AC$2*$AD$2*$AE$2+('Demand Base Matrix'!E$56+'Demand Base Matrix'!E$57)*$W$2*$AD$2+'Demand Base Matrix'!E$58*$W$2*$AD$2*$AE$2+'Demand Base Matrix'!E$60+'Demand Base Matrix'!E$61*$AF$2),IF($C2="Explore",('Demand Base Matrix'!E$82*$AC$2*$AD$2*$AE$2*$AF$2+'Demand Base Matrix'!E$83*$W$2*$AC$2*$AD$2*$AE$2*$AF$2+'Demand Base Matrix'!E$84)))))</f>
        <v>10</v>
      </c>
      <c r="AI2">
        <f>IF($C2="Validate",(('Demand Base Matrix'!F$2+'Demand Base Matrix'!F$6)*$AC$2*$AD$2*$AE$2+('Demand Base Matrix'!F$3+'Demand Base Matrix'!F$4)*$W$2*$AD$2+'Demand Base Matrix'!F$5*$W$2*$AD$2*$AE$2+'Demand Base Matrix'!F$7+'Demand Base Matrix'!F$8*$AF$2),IF($C2="Integrate",(('Demand Base Matrix'!F$28+'Demand Base Matrix'!F$32)*$AC$2*$AD$2*$AE$2+('Demand Base Matrix'!F$29+'Demand Base Matrix'!F$30)*$W$2*$AD$2+'Demand Base Matrix'!F$31*$W$2*$AD$2*$AE$2+'Demand Base Matrix'!F$33+'Demand Base Matrix'!F$34*$AF$2),IF($C2="Bond",(('Demand Base Matrix'!F$55+'Demand Base Matrix'!F$59)*$AC$2*$AD$2*$AE$2+('Demand Base Matrix'!F$56+'Demand Base Matrix'!F$57)*$W$2*$AD$2+'Demand Base Matrix'!F$58*$W$2*$AD$2*$AE$2+'Demand Base Matrix'!F$60+'Demand Base Matrix'!F$61*$AF$2),IF($C2="Explore",('Demand Base Matrix'!F$82*$AC$2*$AD$2*$AE$2*$AF$2+'Demand Base Matrix'!F$83*$W$2*$AC$2*$AD$2*$AE$2*$AF$2+'Demand Base Matrix'!F$84)))))</f>
        <v>10</v>
      </c>
      <c r="AJ2">
        <f>IF($C2="Validate",(('Demand Base Matrix'!G$2+'Demand Base Matrix'!G$6)*$AC$2*$AD$2*$AE$2+('Demand Base Matrix'!G$3+'Demand Base Matrix'!G$4)*$W$2*$AD$2+'Demand Base Matrix'!G$5*$W$2*$AD$2*$AE$2+'Demand Base Matrix'!G$7+'Demand Base Matrix'!G$8*$AF$2),IF($C2="Integrate",(('Demand Base Matrix'!G$28+'Demand Base Matrix'!G$32)*$AC$2*$AD$2*$AE$2+('Demand Base Matrix'!G$29+'Demand Base Matrix'!G$30)*$W$2*$AD$2+'Demand Base Matrix'!G$31*$W$2*$AD$2*$AE$2+'Demand Base Matrix'!G$33+'Demand Base Matrix'!G$34*$AF$2),IF($C2="Bond",(('Demand Base Matrix'!G$55+'Demand Base Matrix'!G$59)*$AC$2*$AD$2*$AE$2+('Demand Base Matrix'!G$56+'Demand Base Matrix'!G$57)*$W$2*$AD$2+'Demand Base Matrix'!G$58*$W$2*$AD$2*$AE$2+'Demand Base Matrix'!G$60+'Demand Base Matrix'!G$61*$AF$2),IF($C2="Explore",('Demand Base Matrix'!G$82*$AC$2*$AD$2*$AE$2*$AF$2+'Demand Base Matrix'!G$83*$W$2*$AC$2*$AD$2*$AE$2*$AF$2+'Demand Base Matrix'!G$84)))))</f>
        <v>50</v>
      </c>
      <c r="AK2">
        <f>IF($C2="Validate",(('Demand Base Matrix'!H$2+'Demand Base Matrix'!H$6)*$AC$2*$AD$2*$AE$2+('Demand Base Matrix'!H$3+'Demand Base Matrix'!H$4)*$W$2*$AD$2+'Demand Base Matrix'!H$5*$W$2*$AD$2*$AE$2+'Demand Base Matrix'!H$7+'Demand Base Matrix'!H$8*$AF$2),IF($C2="Integrate",(('Demand Base Matrix'!H$28+'Demand Base Matrix'!H$32)*$AC$2*$AD$2*$AE$2+('Demand Base Matrix'!H$29+'Demand Base Matrix'!H$30)*$W$2*$AD$2+'Demand Base Matrix'!H$31*$W$2*$AD$2*$AE$2+'Demand Base Matrix'!H$33+'Demand Base Matrix'!H$34*$AF$2),IF($C2="Bond",(('Demand Base Matrix'!H$55+'Demand Base Matrix'!H$59)*$AC$2*$AD$2*$AE$2+('Demand Base Matrix'!H$56+'Demand Base Matrix'!H$57)*$W$2*$AD$2+'Demand Base Matrix'!H$58*$W$2*$AD$2*$AE$2+'Demand Base Matrix'!H$60+'Demand Base Matrix'!H$61*$AF$2),IF($C2="Explore",('Demand Base Matrix'!H$82*$AC$2*$AD$2*$AE$2*$AF$2+'Demand Base Matrix'!H$83*$W$2*$AC$2*$AD$2*$AE$2*$AF$2+'Demand Base Matrix'!H$84)))))</f>
        <v>28</v>
      </c>
      <c r="AL2">
        <f>IF($C2="Validate",(('Demand Base Matrix'!I$2+'Demand Base Matrix'!I$6)*$AC$2*$AD$2*$AE$2+('Demand Base Matrix'!I$3+'Demand Base Matrix'!I$4)*$W$2*$AD$2+'Demand Base Matrix'!I$5*$W$2*$AD$2*$AE$2+'Demand Base Matrix'!I$7+'Demand Base Matrix'!I$8*$AF$2),IF($C2="Integrate",(('Demand Base Matrix'!I$28+'Demand Base Matrix'!I$32)*$AC$2*$AD$2*$AE$2+('Demand Base Matrix'!I$29+'Demand Base Matrix'!I$30)*$W$2*$AD$2+'Demand Base Matrix'!I$31*$W$2*$AD$2*$AE$2+'Demand Base Matrix'!I$33+'Demand Base Matrix'!I$34*$AF$2),IF($C2="Bond",(('Demand Base Matrix'!I$55+'Demand Base Matrix'!I$59)*$AC$2*$AD$2*$AE$2+('Demand Base Matrix'!I$56+'Demand Base Matrix'!I$57)*$W$2*$AD$2+'Demand Base Matrix'!I$58*$W$2*$AD$2*$AE$2+'Demand Base Matrix'!I$60+'Demand Base Matrix'!I$61*$AF$2),IF($C2="Explore",('Demand Base Matrix'!I$82*$AC$2*$AD$2*$AE$2*$AF$2+'Demand Base Matrix'!I$83*$W$2*$AC$2*$AD$2*$AE$2*$AF$2+'Demand Base Matrix'!I$84)))))</f>
        <v>8</v>
      </c>
      <c r="AM2">
        <f>IF($C2="Validate",(('Demand Base Matrix'!J$2+'Demand Base Matrix'!J$6)*$AC$2*$AD$2*$AE$2+('Demand Base Matrix'!J$3+'Demand Base Matrix'!J$4)*$W$2*$AD$2+'Demand Base Matrix'!J$5*$W$2*$AD$2*$AE$2+'Demand Base Matrix'!J$7+'Demand Base Matrix'!J$8*$AF$2),IF($C2="Integrate",(('Demand Base Matrix'!J$28+'Demand Base Matrix'!J$32)*$AC$2*$AD$2*$AE$2+('Demand Base Matrix'!J$29+'Demand Base Matrix'!J$30)*$W$2*$AD$2+'Demand Base Matrix'!J$31*$W$2*$AD$2*$AE$2+'Demand Base Matrix'!J$33+'Demand Base Matrix'!J$34*$AF$2),IF($C2="Bond",(('Demand Base Matrix'!J$55+'Demand Base Matrix'!J$59)*$AC$2*$AD$2*$AE$2+('Demand Base Matrix'!J$56+'Demand Base Matrix'!J$57)*$W$2*$AD$2+'Demand Base Matrix'!J$58*$W$2*$AD$2*$AE$2+'Demand Base Matrix'!J$60+'Demand Base Matrix'!J$61*$AF$2),IF($C2="Explore",('Demand Base Matrix'!J$82*$AC$2*$AD$2*$AE$2*$AF$2+'Demand Base Matrix'!J$83*$W$2*$AC$2*$AD$2*$AE$2*$AF$2+'Demand Base Matrix'!J$84)))))</f>
        <v>8</v>
      </c>
      <c r="AP2" s="5"/>
      <c r="AQ2" s="5"/>
      <c r="AR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</row>
    <row r="3" spans="1:95" x14ac:dyDescent="0.2">
      <c r="A3" t="s">
        <v>717</v>
      </c>
      <c r="B3" t="s">
        <v>22</v>
      </c>
      <c r="C3" t="s">
        <v>23</v>
      </c>
      <c r="D3" t="s">
        <v>177</v>
      </c>
      <c r="E3" t="s">
        <v>25</v>
      </c>
      <c r="F3" t="s">
        <v>180</v>
      </c>
      <c r="I3" t="str">
        <f>IFERROR(INDEX('Customer 360'!F:F,MATCH(B3,'Customer 360'!A:A,0)),"-")</f>
        <v>A</v>
      </c>
      <c r="J3">
        <v>52000</v>
      </c>
      <c r="K3"/>
      <c r="L3" s="4">
        <v>46295</v>
      </c>
      <c r="M3" s="4">
        <v>46295</v>
      </c>
      <c r="N3">
        <v>2026</v>
      </c>
      <c r="O3" s="4">
        <v>46023</v>
      </c>
      <c r="P3" t="s">
        <v>217</v>
      </c>
      <c r="Q3" s="18">
        <f t="shared" si="0"/>
        <v>46023</v>
      </c>
      <c r="R3" s="18">
        <f>IFERROR(IF(M3&lt;&gt;"",M3,IF(L3&lt;&gt;"",L3,INDEX('CSM RDD'!B:B,MATCH(B3,'CSM RDD'!A:A,0)))),"-")</f>
        <v>46295</v>
      </c>
      <c r="S3" s="18">
        <f t="shared" ref="S3:S22" si="4">IFERROR(EOMONTH(Q3,-1)+1,"")</f>
        <v>46023</v>
      </c>
      <c r="T3" s="18">
        <f t="shared" ref="T3:T22" si="5">IFERROR(EOMONTH(R3,-1)+1,"")</f>
        <v>46266</v>
      </c>
      <c r="U3" s="6">
        <f t="shared" si="1"/>
        <v>52000</v>
      </c>
      <c r="V3" s="18">
        <f t="shared" si="2"/>
        <v>46082</v>
      </c>
      <c r="W3">
        <f>IF(U3=0,1,IF(U3&lt;='Demand Base Matrix'!$K$3,'Demand Base Matrix'!$L$3,IF(U3&lt;='Demand Base Matrix'!$K$4,'Demand Base Matrix'!$L$4,IF(U3&lt;='Demand Base Matrix'!$K$5,'Demand Base Matrix'!$L$5,IF(U3&lt;='Demand Base Matrix'!$K$6,'Demand Base Matrix'!$L$6,IF(U3&lt;='Demand Base Matrix'!$K$7,'Demand Base Matrix'!$L$7))))))</f>
        <v>2</v>
      </c>
      <c r="X3" s="4">
        <f t="shared" ref="X3:X22" si="6">DATE(YEAR(R3),MONTH(R3),1)</f>
        <v>46266</v>
      </c>
      <c r="Y3" t="str">
        <f t="shared" si="3"/>
        <v>Dx</v>
      </c>
      <c r="Z3" t="s">
        <v>685</v>
      </c>
      <c r="AA3" t="s">
        <v>685</v>
      </c>
      <c r="AB3" t="s">
        <v>684</v>
      </c>
      <c r="AC3">
        <f>IFERROR(INDEX('Demand Base Matrix'!AM:AM,MATCH(Y3,'Demand Base Matrix'!AL:AL,0)),"-")</f>
        <v>1</v>
      </c>
      <c r="AD3">
        <f>IFERROR(INDEX('Demand Base Matrix'!AO:AO,MATCH(Z3,'Demand Base Matrix'!AN:AN,0)),1)</f>
        <v>1</v>
      </c>
      <c r="AE3">
        <f>IFERROR(INDEX('Demand Base Matrix'!AQ:AQ,MATCH(AA3,'Demand Base Matrix'!AP:AP,0)),1)</f>
        <v>1</v>
      </c>
      <c r="AF3">
        <f>IFERROR(INDEX('Demand Base Matrix'!AS:AS,MATCH(AB3,'Demand Base Matrix'!AR:AR,0)),1)</f>
        <v>1.5</v>
      </c>
      <c r="AG3">
        <f>IF($C3="Validate",(('Demand Base Matrix'!D$2+'Demand Base Matrix'!D$6)*$AC$2*$AD$2*$AE$2+('Demand Base Matrix'!D$3+'Demand Base Matrix'!D$4)*$W$2*$AD$2+'Demand Base Matrix'!D$5*$W$2*$AD$2*$AE$2+'Demand Base Matrix'!D$7+'Demand Base Matrix'!D$8*$AF$2),IF($C3="Integrate",(('Demand Base Matrix'!D$28+'Demand Base Matrix'!D$32)*$AC$2*$AD$2*$AE$2+('Demand Base Matrix'!D$29+'Demand Base Matrix'!D$30)*$W$2*$AD$2+'Demand Base Matrix'!D$31*$W$2*$AD$2*$AE$2+'Demand Base Matrix'!D$33+'Demand Base Matrix'!D$34*$AF$2),IF($C3="Bond",(('Demand Base Matrix'!D$55+'Demand Base Matrix'!D$59)*$AC$2*$AD$2*$AE$2+('Demand Base Matrix'!D$56+'Demand Base Matrix'!D$57)*$W$2*$AD$2+'Demand Base Matrix'!D$58*$W$2*$AD$2*$AE$2+'Demand Base Matrix'!D$60+'Demand Base Matrix'!D$61*$AF$2),IF($C3="Explore",('Demand Base Matrix'!D$82*$AC$2*$AD$2*$AE$2*$AF$2+'Demand Base Matrix'!D$83*$W$2*$AC$2*$AD$2*$AE$2*$AF$2+'Demand Base Matrix'!D$84)))))</f>
        <v>10</v>
      </c>
      <c r="AH3">
        <f>IF($C3="Validate",(('Demand Base Matrix'!E$2+'Demand Base Matrix'!E$6)*$AC$2*$AD$2*$AE$2+('Demand Base Matrix'!E$3+'Demand Base Matrix'!E$4)*$W$2*$AD$2+'Demand Base Matrix'!E$5*$W$2*$AD$2*$AE$2+'Demand Base Matrix'!E$7+'Demand Base Matrix'!E$8*$AF$2),IF($C3="Integrate",(('Demand Base Matrix'!E$28+'Demand Base Matrix'!E$32)*$AC$2*$AD$2*$AE$2+('Demand Base Matrix'!E$29+'Demand Base Matrix'!E$30)*$W$2*$AD$2+'Demand Base Matrix'!E$31*$W$2*$AD$2*$AE$2+'Demand Base Matrix'!E$33+'Demand Base Matrix'!E$34*$AF$2),IF($C3="Bond",(('Demand Base Matrix'!E$55+'Demand Base Matrix'!E$59)*$AC$2*$AD$2*$AE$2+('Demand Base Matrix'!E$56+'Demand Base Matrix'!E$57)*$W$2*$AD$2+'Demand Base Matrix'!E$58*$W$2*$AD$2*$AE$2+'Demand Base Matrix'!E$60+'Demand Base Matrix'!E$61*$AF$2),IF($C3="Explore",('Demand Base Matrix'!E$82*$AC$2*$AD$2*$AE$2*$AF$2+'Demand Base Matrix'!E$83*$W$2*$AC$2*$AD$2*$AE$2*$AF$2+'Demand Base Matrix'!E$84)))))</f>
        <v>10</v>
      </c>
      <c r="AI3">
        <f>IF($C3="Validate",(('Demand Base Matrix'!F$2+'Demand Base Matrix'!F$6)*$AC$2*$AD$2*$AE$2+('Demand Base Matrix'!F$3+'Demand Base Matrix'!F$4)*$W$2*$AD$2+'Demand Base Matrix'!F$5*$W$2*$AD$2*$AE$2+'Demand Base Matrix'!F$7+'Demand Base Matrix'!F$8*$AF$2),IF($C3="Integrate",(('Demand Base Matrix'!F$28+'Demand Base Matrix'!F$32)*$AC$2*$AD$2*$AE$2+('Demand Base Matrix'!F$29+'Demand Base Matrix'!F$30)*$W$2*$AD$2+'Demand Base Matrix'!F$31*$W$2*$AD$2*$AE$2+'Demand Base Matrix'!F$33+'Demand Base Matrix'!F$34*$AF$2),IF($C3="Bond",(('Demand Base Matrix'!F$55+'Demand Base Matrix'!F$59)*$AC$2*$AD$2*$AE$2+('Demand Base Matrix'!F$56+'Demand Base Matrix'!F$57)*$W$2*$AD$2+'Demand Base Matrix'!F$58*$W$2*$AD$2*$AE$2+'Demand Base Matrix'!F$60+'Demand Base Matrix'!F$61*$AF$2),IF($C3="Explore",('Demand Base Matrix'!F$82*$AC$2*$AD$2*$AE$2*$AF$2+'Demand Base Matrix'!F$83*$W$2*$AC$2*$AD$2*$AE$2*$AF$2+'Demand Base Matrix'!F$84)))))</f>
        <v>10</v>
      </c>
      <c r="AJ3">
        <f>IF($C3="Validate",(('Demand Base Matrix'!G$2+'Demand Base Matrix'!G$6)*$AC$2*$AD$2*$AE$2+('Demand Base Matrix'!G$3+'Demand Base Matrix'!G$4)*$W$2*$AD$2+'Demand Base Matrix'!G$5*$W$2*$AD$2*$AE$2+'Demand Base Matrix'!G$7+'Demand Base Matrix'!G$8*$AF$2),IF($C3="Integrate",(('Demand Base Matrix'!G$28+'Demand Base Matrix'!G$32)*$AC$2*$AD$2*$AE$2+('Demand Base Matrix'!G$29+'Demand Base Matrix'!G$30)*$W$2*$AD$2+'Demand Base Matrix'!G$31*$W$2*$AD$2*$AE$2+'Demand Base Matrix'!G$33+'Demand Base Matrix'!G$34*$AF$2),IF($C3="Bond",(('Demand Base Matrix'!G$55+'Demand Base Matrix'!G$59)*$AC$2*$AD$2*$AE$2+('Demand Base Matrix'!G$56+'Demand Base Matrix'!G$57)*$W$2*$AD$2+'Demand Base Matrix'!G$58*$W$2*$AD$2*$AE$2+'Demand Base Matrix'!G$60+'Demand Base Matrix'!G$61*$AF$2),IF($C3="Explore",('Demand Base Matrix'!G$82*$AC$2*$AD$2*$AE$2*$AF$2+'Demand Base Matrix'!G$83*$W$2*$AC$2*$AD$2*$AE$2*$AF$2+'Demand Base Matrix'!G$84)))))</f>
        <v>50</v>
      </c>
      <c r="AK3">
        <f>IF($C3="Validate",(('Demand Base Matrix'!H$2+'Demand Base Matrix'!H$6)*$AC$2*$AD$2*$AE$2+('Demand Base Matrix'!H$3+'Demand Base Matrix'!H$4)*$W$2*$AD$2+'Demand Base Matrix'!H$5*$W$2*$AD$2*$AE$2+'Demand Base Matrix'!H$7+'Demand Base Matrix'!H$8*$AF$2),IF($C3="Integrate",(('Demand Base Matrix'!H$28+'Demand Base Matrix'!H$32)*$AC$2*$AD$2*$AE$2+('Demand Base Matrix'!H$29+'Demand Base Matrix'!H$30)*$W$2*$AD$2+'Demand Base Matrix'!H$31*$W$2*$AD$2*$AE$2+'Demand Base Matrix'!H$33+'Demand Base Matrix'!H$34*$AF$2),IF($C3="Bond",(('Demand Base Matrix'!H$55+'Demand Base Matrix'!H$59)*$AC$2*$AD$2*$AE$2+('Demand Base Matrix'!H$56+'Demand Base Matrix'!H$57)*$W$2*$AD$2+'Demand Base Matrix'!H$58*$W$2*$AD$2*$AE$2+'Demand Base Matrix'!H$60+'Demand Base Matrix'!H$61*$AF$2),IF($C3="Explore",('Demand Base Matrix'!H$82*$AC$2*$AD$2*$AE$2*$AF$2+'Demand Base Matrix'!H$83*$W$2*$AC$2*$AD$2*$AE$2*$AF$2+'Demand Base Matrix'!H$84)))))</f>
        <v>28</v>
      </c>
      <c r="AL3">
        <f>IF($C3="Validate",(('Demand Base Matrix'!I$2+'Demand Base Matrix'!I$6)*$AC$2*$AD$2*$AE$2+('Demand Base Matrix'!I$3+'Demand Base Matrix'!I$4)*$W$2*$AD$2+'Demand Base Matrix'!I$5*$W$2*$AD$2*$AE$2+'Demand Base Matrix'!I$7+'Demand Base Matrix'!I$8*$AF$2),IF($C3="Integrate",(('Demand Base Matrix'!I$28+'Demand Base Matrix'!I$32)*$AC$2*$AD$2*$AE$2+('Demand Base Matrix'!I$29+'Demand Base Matrix'!I$30)*$W$2*$AD$2+'Demand Base Matrix'!I$31*$W$2*$AD$2*$AE$2+'Demand Base Matrix'!I$33+'Demand Base Matrix'!I$34*$AF$2),IF($C3="Bond",(('Demand Base Matrix'!I$55+'Demand Base Matrix'!I$59)*$AC$2*$AD$2*$AE$2+('Demand Base Matrix'!I$56+'Demand Base Matrix'!I$57)*$W$2*$AD$2+'Demand Base Matrix'!I$58*$W$2*$AD$2*$AE$2+'Demand Base Matrix'!I$60+'Demand Base Matrix'!I$61*$AF$2),IF($C3="Explore",('Demand Base Matrix'!I$82*$AC$2*$AD$2*$AE$2*$AF$2+'Demand Base Matrix'!I$83*$W$2*$AC$2*$AD$2*$AE$2*$AF$2+'Demand Base Matrix'!I$84)))))</f>
        <v>8</v>
      </c>
      <c r="AM3">
        <f>IF($C3="Validate",(('Demand Base Matrix'!J$2+'Demand Base Matrix'!J$6)*$AC$2*$AD$2*$AE$2+('Demand Base Matrix'!J$3+'Demand Base Matrix'!J$4)*$W$2*$AD$2+'Demand Base Matrix'!J$5*$W$2*$AD$2*$AE$2+'Demand Base Matrix'!J$7+'Demand Base Matrix'!J$8*$AF$2),IF($C3="Integrate",(('Demand Base Matrix'!J$28+'Demand Base Matrix'!J$32)*$AC$2*$AD$2*$AE$2+('Demand Base Matrix'!J$29+'Demand Base Matrix'!J$30)*$W$2*$AD$2+'Demand Base Matrix'!J$31*$W$2*$AD$2*$AE$2+'Demand Base Matrix'!J$33+'Demand Base Matrix'!J$34*$AF$2),IF($C3="Bond",(('Demand Base Matrix'!J$55+'Demand Base Matrix'!J$59)*$AC$2*$AD$2*$AE$2+('Demand Base Matrix'!J$56+'Demand Base Matrix'!J$57)*$W$2*$AD$2+'Demand Base Matrix'!J$58*$W$2*$AD$2*$AE$2+'Demand Base Matrix'!J$60+'Demand Base Matrix'!J$61*$AF$2),IF($C3="Explore",('Demand Base Matrix'!J$82*$AC$2*$AD$2*$AE$2*$AF$2+'Demand Base Matrix'!J$83*$W$2*$AC$2*$AD$2*$AE$2*$AF$2+'Demand Base Matrix'!J$84)))))</f>
        <v>8</v>
      </c>
      <c r="AP3" s="5"/>
      <c r="AQ3" s="5"/>
      <c r="AR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</row>
    <row r="4" spans="1:95" x14ac:dyDescent="0.2">
      <c r="A4" t="s">
        <v>718</v>
      </c>
      <c r="B4" t="s">
        <v>22</v>
      </c>
      <c r="C4" t="s">
        <v>23</v>
      </c>
      <c r="D4" t="s">
        <v>177</v>
      </c>
      <c r="E4" t="s">
        <v>25</v>
      </c>
      <c r="F4" t="s">
        <v>180</v>
      </c>
      <c r="I4" t="str">
        <f>IFERROR(INDEX('Customer 360'!F:F,MATCH(B4,'Customer 360'!A:A,0)),"-")</f>
        <v>A</v>
      </c>
      <c r="J4"/>
      <c r="K4">
        <v>3298</v>
      </c>
      <c r="L4" s="4">
        <v>46295</v>
      </c>
      <c r="M4" s="4">
        <v>46295</v>
      </c>
      <c r="N4">
        <v>2026</v>
      </c>
      <c r="O4" s="4">
        <v>46023</v>
      </c>
      <c r="P4" t="s">
        <v>217</v>
      </c>
      <c r="Q4" s="18">
        <f t="shared" si="0"/>
        <v>46023</v>
      </c>
      <c r="R4" s="18">
        <f>IFERROR(IF(M4&lt;&gt;"",M4,IF(L4&lt;&gt;"",L4,INDEX('CSM RDD'!B:B,MATCH(B4,'CSM RDD'!A:A,0)))),"-")</f>
        <v>46295</v>
      </c>
      <c r="S4" s="18">
        <f t="shared" si="4"/>
        <v>46023</v>
      </c>
      <c r="T4" s="18">
        <f t="shared" si="5"/>
        <v>46266</v>
      </c>
      <c r="U4" s="6">
        <f t="shared" si="1"/>
        <v>3298</v>
      </c>
      <c r="V4" s="18">
        <f t="shared" si="2"/>
        <v>46082</v>
      </c>
      <c r="W4">
        <f>IF(U4=0,1,IF(U4&lt;='Demand Base Matrix'!$K$3,'Demand Base Matrix'!$L$3,IF(U4&lt;='Demand Base Matrix'!$K$4,'Demand Base Matrix'!$L$4,IF(U4&lt;='Demand Base Matrix'!$K$5,'Demand Base Matrix'!$L$5,IF(U4&lt;='Demand Base Matrix'!$K$6,'Demand Base Matrix'!$L$6,IF(U4&lt;='Demand Base Matrix'!$K$7,'Demand Base Matrix'!$L$7))))))</f>
        <v>1</v>
      </c>
      <c r="X4" s="4">
        <f t="shared" si="6"/>
        <v>46266</v>
      </c>
      <c r="Y4" t="str">
        <f t="shared" si="3"/>
        <v>Tx</v>
      </c>
      <c r="Z4" t="s">
        <v>685</v>
      </c>
      <c r="AA4" t="s">
        <v>685</v>
      </c>
      <c r="AB4" t="s">
        <v>684</v>
      </c>
      <c r="AC4">
        <f>IFERROR(INDEX('Demand Base Matrix'!AM:AM,MATCH(Y4,'Demand Base Matrix'!AL:AL,0)),"-")</f>
        <v>1.5</v>
      </c>
      <c r="AD4">
        <f>IFERROR(INDEX('Demand Base Matrix'!AO:AO,MATCH(Z4,'Demand Base Matrix'!AN:AN,0)),1)</f>
        <v>1</v>
      </c>
      <c r="AE4">
        <f>IFERROR(INDEX('Demand Base Matrix'!AQ:AQ,MATCH(AA4,'Demand Base Matrix'!AP:AP,0)),1)</f>
        <v>1</v>
      </c>
      <c r="AF4">
        <f>IFERROR(INDEX('Demand Base Matrix'!AS:AS,MATCH(AB4,'Demand Base Matrix'!AR:AR,0)),1)</f>
        <v>1.5</v>
      </c>
      <c r="AG4">
        <f>IF($C4="Validate",(('Demand Base Matrix'!D$2+'Demand Base Matrix'!D$6)*$AC$2*$AD$2*$AE$2+('Demand Base Matrix'!D$3+'Demand Base Matrix'!D$4)*$W$2*$AD$2+'Demand Base Matrix'!D$5*$W$2*$AD$2*$AE$2+'Demand Base Matrix'!D$7+'Demand Base Matrix'!D$8*$AF$2),IF($C4="Integrate",(('Demand Base Matrix'!D$28+'Demand Base Matrix'!D$32)*$AC$2*$AD$2*$AE$2+('Demand Base Matrix'!D$29+'Demand Base Matrix'!D$30)*$W$2*$AD$2+'Demand Base Matrix'!D$31*$W$2*$AD$2*$AE$2+'Demand Base Matrix'!D$33+'Demand Base Matrix'!D$34*$AF$2),IF($C4="Bond",(('Demand Base Matrix'!D$55+'Demand Base Matrix'!D$59)*$AC$2*$AD$2*$AE$2+('Demand Base Matrix'!D$56+'Demand Base Matrix'!D$57)*$W$2*$AD$2+'Demand Base Matrix'!D$58*$W$2*$AD$2*$AE$2+'Demand Base Matrix'!D$60+'Demand Base Matrix'!D$61*$AF$2),IF($C4="Explore",('Demand Base Matrix'!D$82*$AC$2*$AD$2*$AE$2*$AF$2+'Demand Base Matrix'!D$83*$W$2*$AC$2*$AD$2*$AE$2*$AF$2+'Demand Base Matrix'!D$84)))))</f>
        <v>10</v>
      </c>
      <c r="AH4">
        <f>IF($C4="Validate",(('Demand Base Matrix'!E$2+'Demand Base Matrix'!E$6)*$AC$2*$AD$2*$AE$2+('Demand Base Matrix'!E$3+'Demand Base Matrix'!E$4)*$W$2*$AD$2+'Demand Base Matrix'!E$5*$W$2*$AD$2*$AE$2+'Demand Base Matrix'!E$7+'Demand Base Matrix'!E$8*$AF$2),IF($C4="Integrate",(('Demand Base Matrix'!E$28+'Demand Base Matrix'!E$32)*$AC$2*$AD$2*$AE$2+('Demand Base Matrix'!E$29+'Demand Base Matrix'!E$30)*$W$2*$AD$2+'Demand Base Matrix'!E$31*$W$2*$AD$2*$AE$2+'Demand Base Matrix'!E$33+'Demand Base Matrix'!E$34*$AF$2),IF($C4="Bond",(('Demand Base Matrix'!E$55+'Demand Base Matrix'!E$59)*$AC$2*$AD$2*$AE$2+('Demand Base Matrix'!E$56+'Demand Base Matrix'!E$57)*$W$2*$AD$2+'Demand Base Matrix'!E$58*$W$2*$AD$2*$AE$2+'Demand Base Matrix'!E$60+'Demand Base Matrix'!E$61*$AF$2),IF($C4="Explore",('Demand Base Matrix'!E$82*$AC$2*$AD$2*$AE$2*$AF$2+'Demand Base Matrix'!E$83*$W$2*$AC$2*$AD$2*$AE$2*$AF$2+'Demand Base Matrix'!E$84)))))</f>
        <v>10</v>
      </c>
      <c r="AI4">
        <f>IF($C4="Validate",(('Demand Base Matrix'!F$2+'Demand Base Matrix'!F$6)*$AC$2*$AD$2*$AE$2+('Demand Base Matrix'!F$3+'Demand Base Matrix'!F$4)*$W$2*$AD$2+'Demand Base Matrix'!F$5*$W$2*$AD$2*$AE$2+'Demand Base Matrix'!F$7+'Demand Base Matrix'!F$8*$AF$2),IF($C4="Integrate",(('Demand Base Matrix'!F$28+'Demand Base Matrix'!F$32)*$AC$2*$AD$2*$AE$2+('Demand Base Matrix'!F$29+'Demand Base Matrix'!F$30)*$W$2*$AD$2+'Demand Base Matrix'!F$31*$W$2*$AD$2*$AE$2+'Demand Base Matrix'!F$33+'Demand Base Matrix'!F$34*$AF$2),IF($C4="Bond",(('Demand Base Matrix'!F$55+'Demand Base Matrix'!F$59)*$AC$2*$AD$2*$AE$2+('Demand Base Matrix'!F$56+'Demand Base Matrix'!F$57)*$W$2*$AD$2+'Demand Base Matrix'!F$58*$W$2*$AD$2*$AE$2+'Demand Base Matrix'!F$60+'Demand Base Matrix'!F$61*$AF$2),IF($C4="Explore",('Demand Base Matrix'!F$82*$AC$2*$AD$2*$AE$2*$AF$2+'Demand Base Matrix'!F$83*$W$2*$AC$2*$AD$2*$AE$2*$AF$2+'Demand Base Matrix'!F$84)))))</f>
        <v>10</v>
      </c>
      <c r="AJ4">
        <f>IF($C4="Validate",(('Demand Base Matrix'!G$2+'Demand Base Matrix'!G$6)*$AC$2*$AD$2*$AE$2+('Demand Base Matrix'!G$3+'Demand Base Matrix'!G$4)*$W$2*$AD$2+'Demand Base Matrix'!G$5*$W$2*$AD$2*$AE$2+'Demand Base Matrix'!G$7+'Demand Base Matrix'!G$8*$AF$2),IF($C4="Integrate",(('Demand Base Matrix'!G$28+'Demand Base Matrix'!G$32)*$AC$2*$AD$2*$AE$2+('Demand Base Matrix'!G$29+'Demand Base Matrix'!G$30)*$W$2*$AD$2+'Demand Base Matrix'!G$31*$W$2*$AD$2*$AE$2+'Demand Base Matrix'!G$33+'Demand Base Matrix'!G$34*$AF$2),IF($C4="Bond",(('Demand Base Matrix'!G$55+'Demand Base Matrix'!G$59)*$AC$2*$AD$2*$AE$2+('Demand Base Matrix'!G$56+'Demand Base Matrix'!G$57)*$W$2*$AD$2+'Demand Base Matrix'!G$58*$W$2*$AD$2*$AE$2+'Demand Base Matrix'!G$60+'Demand Base Matrix'!G$61*$AF$2),IF($C4="Explore",('Demand Base Matrix'!G$82*$AC$2*$AD$2*$AE$2*$AF$2+'Demand Base Matrix'!G$83*$W$2*$AC$2*$AD$2*$AE$2*$AF$2+'Demand Base Matrix'!G$84)))))</f>
        <v>50</v>
      </c>
      <c r="AK4">
        <f>IF($C4="Validate",(('Demand Base Matrix'!H$2+'Demand Base Matrix'!H$6)*$AC$2*$AD$2*$AE$2+('Demand Base Matrix'!H$3+'Demand Base Matrix'!H$4)*$W$2*$AD$2+'Demand Base Matrix'!H$5*$W$2*$AD$2*$AE$2+'Demand Base Matrix'!H$7+'Demand Base Matrix'!H$8*$AF$2),IF($C4="Integrate",(('Demand Base Matrix'!H$28+'Demand Base Matrix'!H$32)*$AC$2*$AD$2*$AE$2+('Demand Base Matrix'!H$29+'Demand Base Matrix'!H$30)*$W$2*$AD$2+'Demand Base Matrix'!H$31*$W$2*$AD$2*$AE$2+'Demand Base Matrix'!H$33+'Demand Base Matrix'!H$34*$AF$2),IF($C4="Bond",(('Demand Base Matrix'!H$55+'Demand Base Matrix'!H$59)*$AC$2*$AD$2*$AE$2+('Demand Base Matrix'!H$56+'Demand Base Matrix'!H$57)*$W$2*$AD$2+'Demand Base Matrix'!H$58*$W$2*$AD$2*$AE$2+'Demand Base Matrix'!H$60+'Demand Base Matrix'!H$61*$AF$2),IF($C4="Explore",('Demand Base Matrix'!H$82*$AC$2*$AD$2*$AE$2*$AF$2+'Demand Base Matrix'!H$83*$W$2*$AC$2*$AD$2*$AE$2*$AF$2+'Demand Base Matrix'!H$84)))))</f>
        <v>28</v>
      </c>
      <c r="AL4">
        <f>IF($C4="Validate",(('Demand Base Matrix'!I$2+'Demand Base Matrix'!I$6)*$AC$2*$AD$2*$AE$2+('Demand Base Matrix'!I$3+'Demand Base Matrix'!I$4)*$W$2*$AD$2+'Demand Base Matrix'!I$5*$W$2*$AD$2*$AE$2+'Demand Base Matrix'!I$7+'Demand Base Matrix'!I$8*$AF$2),IF($C4="Integrate",(('Demand Base Matrix'!I$28+'Demand Base Matrix'!I$32)*$AC$2*$AD$2*$AE$2+('Demand Base Matrix'!I$29+'Demand Base Matrix'!I$30)*$W$2*$AD$2+'Demand Base Matrix'!I$31*$W$2*$AD$2*$AE$2+'Demand Base Matrix'!I$33+'Demand Base Matrix'!I$34*$AF$2),IF($C4="Bond",(('Demand Base Matrix'!I$55+'Demand Base Matrix'!I$59)*$AC$2*$AD$2*$AE$2+('Demand Base Matrix'!I$56+'Demand Base Matrix'!I$57)*$W$2*$AD$2+'Demand Base Matrix'!I$58*$W$2*$AD$2*$AE$2+'Demand Base Matrix'!I$60+'Demand Base Matrix'!I$61*$AF$2),IF($C4="Explore",('Demand Base Matrix'!I$82*$AC$2*$AD$2*$AE$2*$AF$2+'Demand Base Matrix'!I$83*$W$2*$AC$2*$AD$2*$AE$2*$AF$2+'Demand Base Matrix'!I$84)))))</f>
        <v>8</v>
      </c>
      <c r="AM4">
        <f>IF($C4="Validate",(('Demand Base Matrix'!J$2+'Demand Base Matrix'!J$6)*$AC$2*$AD$2*$AE$2+('Demand Base Matrix'!J$3+'Demand Base Matrix'!J$4)*$W$2*$AD$2+'Demand Base Matrix'!J$5*$W$2*$AD$2*$AE$2+'Demand Base Matrix'!J$7+'Demand Base Matrix'!J$8*$AF$2),IF($C4="Integrate",(('Demand Base Matrix'!J$28+'Demand Base Matrix'!J$32)*$AC$2*$AD$2*$AE$2+('Demand Base Matrix'!J$29+'Demand Base Matrix'!J$30)*$W$2*$AD$2+'Demand Base Matrix'!J$31*$W$2*$AD$2*$AE$2+'Demand Base Matrix'!J$33+'Demand Base Matrix'!J$34*$AF$2),IF($C4="Bond",(('Demand Base Matrix'!J$55+'Demand Base Matrix'!J$59)*$AC$2*$AD$2*$AE$2+('Demand Base Matrix'!J$56+'Demand Base Matrix'!J$57)*$W$2*$AD$2+'Demand Base Matrix'!J$58*$W$2*$AD$2*$AE$2+'Demand Base Matrix'!J$60+'Demand Base Matrix'!J$61*$AF$2),IF($C4="Explore",('Demand Base Matrix'!J$82*$AC$2*$AD$2*$AE$2*$AF$2+'Demand Base Matrix'!J$83*$W$2*$AC$2*$AD$2*$AE$2*$AF$2+'Demand Base Matrix'!J$84)))))</f>
        <v>8</v>
      </c>
      <c r="AP4" s="5"/>
      <c r="AQ4" s="5"/>
      <c r="AR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</row>
    <row r="5" spans="1:95" x14ac:dyDescent="0.2">
      <c r="A5" t="s">
        <v>719</v>
      </c>
      <c r="B5" t="s">
        <v>232</v>
      </c>
      <c r="C5" t="s">
        <v>20</v>
      </c>
      <c r="D5" t="s">
        <v>44</v>
      </c>
      <c r="E5" t="s">
        <v>115</v>
      </c>
      <c r="F5" t="s">
        <v>51</v>
      </c>
      <c r="I5" t="str">
        <f>IFERROR(INDEX('Customer 360'!F:F,MATCH(B5,'Customer 360'!A:A,0)),"-")</f>
        <v>A</v>
      </c>
      <c r="J5">
        <v>68</v>
      </c>
      <c r="K5">
        <v>23</v>
      </c>
      <c r="L5" s="4">
        <v>46216</v>
      </c>
      <c r="M5" s="4">
        <v>46216</v>
      </c>
      <c r="N5">
        <v>2025</v>
      </c>
      <c r="O5" s="4">
        <v>46082</v>
      </c>
      <c r="P5" t="s">
        <v>217</v>
      </c>
      <c r="Q5" s="18">
        <f t="shared" si="0"/>
        <v>46082</v>
      </c>
      <c r="R5" s="18">
        <f>IFERROR(IF(M5&lt;&gt;"",M5,IF(L5&lt;&gt;"",L5,INDEX('CSM RDD'!B:B,MATCH(B5,'CSM RDD'!A:A,0)))),"-")</f>
        <v>46216</v>
      </c>
      <c r="S5" s="18">
        <f t="shared" si="4"/>
        <v>46082</v>
      </c>
      <c r="T5" s="18">
        <f t="shared" si="5"/>
        <v>46204</v>
      </c>
      <c r="U5" s="6">
        <f t="shared" si="1"/>
        <v>91</v>
      </c>
      <c r="V5" s="18">
        <f t="shared" si="2"/>
        <v>46082</v>
      </c>
      <c r="W5">
        <f>IF(U5=0,1,IF(U5&lt;='Demand Base Matrix'!$K$3,'Demand Base Matrix'!$L$3,IF(U5&lt;='Demand Base Matrix'!$K$4,'Demand Base Matrix'!$L$4,IF(U5&lt;='Demand Base Matrix'!$K$5,'Demand Base Matrix'!$L$5,IF(U5&lt;='Demand Base Matrix'!$K$6,'Demand Base Matrix'!$L$6,IF(U5&lt;='Demand Base Matrix'!$K$7,'Demand Base Matrix'!$L$7))))))</f>
        <v>0.75</v>
      </c>
      <c r="X5" s="4">
        <f t="shared" si="6"/>
        <v>46204</v>
      </c>
      <c r="Y5" t="str">
        <f t="shared" si="3"/>
        <v>Tx</v>
      </c>
      <c r="Z5" t="s">
        <v>685</v>
      </c>
      <c r="AA5" t="s">
        <v>685</v>
      </c>
      <c r="AB5" t="s">
        <v>685</v>
      </c>
      <c r="AC5">
        <f>IFERROR(INDEX('Demand Base Matrix'!AM:AM,MATCH(Y5,'Demand Base Matrix'!AL:AL,0)),"-")</f>
        <v>1.5</v>
      </c>
      <c r="AD5">
        <f>IFERROR(INDEX('Demand Base Matrix'!AO:AO,MATCH(Z5,'Demand Base Matrix'!AN:AN,0)),1)</f>
        <v>1</v>
      </c>
      <c r="AE5">
        <f>IFERROR(INDEX('Demand Base Matrix'!AQ:AQ,MATCH(AA5,'Demand Base Matrix'!AP:AP,0)),1)</f>
        <v>1</v>
      </c>
      <c r="AF5">
        <f>IFERROR(INDEX('Demand Base Matrix'!AS:AS,MATCH(AB5,'Demand Base Matrix'!AR:AR,0)),1)</f>
        <v>1</v>
      </c>
      <c r="AG5">
        <f>IF($C5="Validate",(('Demand Base Matrix'!D$2+'Demand Base Matrix'!D$6)*$AC$2*$AD$2*$AE$2+('Demand Base Matrix'!D$3+'Demand Base Matrix'!D$4)*$W$2*$AD$2+'Demand Base Matrix'!D$5*$W$2*$AD$2*$AE$2+'Demand Base Matrix'!D$7+'Demand Base Matrix'!D$8*$AF$2),IF($C5="Integrate",(('Demand Base Matrix'!D$28+'Demand Base Matrix'!D$32)*$AC$2*$AD$2*$AE$2+('Demand Base Matrix'!D$29+'Demand Base Matrix'!D$30)*$W$2*$AD$2+'Demand Base Matrix'!D$31*$W$2*$AD$2*$AE$2+'Demand Base Matrix'!D$33+'Demand Base Matrix'!D$34*$AF$2),IF($C5="Bond",(('Demand Base Matrix'!D$55+'Demand Base Matrix'!D$59)*$AC$2*$AD$2*$AE$2+('Demand Base Matrix'!D$56+'Demand Base Matrix'!D$57)*$W$2*$AD$2+'Demand Base Matrix'!D$58*$W$2*$AD$2*$AE$2+'Demand Base Matrix'!D$60+'Demand Base Matrix'!D$61*$AF$2),IF($C5="Explore",('Demand Base Matrix'!D$82*$AC$2*$AD$2*$AE$2*$AF$2+'Demand Base Matrix'!D$83*$W$2*$AC$2*$AD$2*$AE$2*$AF$2+'Demand Base Matrix'!D$84)))))</f>
        <v>15</v>
      </c>
      <c r="AH5">
        <f>IF($C5="Validate",(('Demand Base Matrix'!E$2+'Demand Base Matrix'!E$6)*$AC$2*$AD$2*$AE$2+('Demand Base Matrix'!E$3+'Demand Base Matrix'!E$4)*$W$2*$AD$2+'Demand Base Matrix'!E$5*$W$2*$AD$2*$AE$2+'Demand Base Matrix'!E$7+'Demand Base Matrix'!E$8*$AF$2),IF($C5="Integrate",(('Demand Base Matrix'!E$28+'Demand Base Matrix'!E$32)*$AC$2*$AD$2*$AE$2+('Demand Base Matrix'!E$29+'Demand Base Matrix'!E$30)*$W$2*$AD$2+'Demand Base Matrix'!E$31*$W$2*$AD$2*$AE$2+'Demand Base Matrix'!E$33+'Demand Base Matrix'!E$34*$AF$2),IF($C5="Bond",(('Demand Base Matrix'!E$55+'Demand Base Matrix'!E$59)*$AC$2*$AD$2*$AE$2+('Demand Base Matrix'!E$56+'Demand Base Matrix'!E$57)*$W$2*$AD$2+'Demand Base Matrix'!E$58*$W$2*$AD$2*$AE$2+'Demand Base Matrix'!E$60+'Demand Base Matrix'!E$61*$AF$2),IF($C5="Explore",('Demand Base Matrix'!E$82*$AC$2*$AD$2*$AE$2*$AF$2+'Demand Base Matrix'!E$83*$W$2*$AC$2*$AD$2*$AE$2*$AF$2+'Demand Base Matrix'!E$84)))))</f>
        <v>15</v>
      </c>
      <c r="AI5">
        <f>IF($C5="Validate",(('Demand Base Matrix'!F$2+'Demand Base Matrix'!F$6)*$AC$2*$AD$2*$AE$2+('Demand Base Matrix'!F$3+'Demand Base Matrix'!F$4)*$W$2*$AD$2+'Demand Base Matrix'!F$5*$W$2*$AD$2*$AE$2+'Demand Base Matrix'!F$7+'Demand Base Matrix'!F$8*$AF$2),IF($C5="Integrate",(('Demand Base Matrix'!F$28+'Demand Base Matrix'!F$32)*$AC$2*$AD$2*$AE$2+('Demand Base Matrix'!F$29+'Demand Base Matrix'!F$30)*$W$2*$AD$2+'Demand Base Matrix'!F$31*$W$2*$AD$2*$AE$2+'Demand Base Matrix'!F$33+'Demand Base Matrix'!F$34*$AF$2),IF($C5="Bond",(('Demand Base Matrix'!F$55+'Demand Base Matrix'!F$59)*$AC$2*$AD$2*$AE$2+('Demand Base Matrix'!F$56+'Demand Base Matrix'!F$57)*$W$2*$AD$2+'Demand Base Matrix'!F$58*$W$2*$AD$2*$AE$2+'Demand Base Matrix'!F$60+'Demand Base Matrix'!F$61*$AF$2),IF($C5="Explore",('Demand Base Matrix'!F$82*$AC$2*$AD$2*$AE$2*$AF$2+'Demand Base Matrix'!F$83*$W$2*$AC$2*$AD$2*$AE$2*$AF$2+'Demand Base Matrix'!F$84)))))</f>
        <v>7</v>
      </c>
      <c r="AJ5">
        <f>IF($C5="Validate",(('Demand Base Matrix'!G$2+'Demand Base Matrix'!G$6)*$AC$2*$AD$2*$AE$2+('Demand Base Matrix'!G$3+'Demand Base Matrix'!G$4)*$W$2*$AD$2+'Demand Base Matrix'!G$5*$W$2*$AD$2*$AE$2+'Demand Base Matrix'!G$7+'Demand Base Matrix'!G$8*$AF$2),IF($C5="Integrate",(('Demand Base Matrix'!G$28+'Demand Base Matrix'!G$32)*$AC$2*$AD$2*$AE$2+('Demand Base Matrix'!G$29+'Demand Base Matrix'!G$30)*$W$2*$AD$2+'Demand Base Matrix'!G$31*$W$2*$AD$2*$AE$2+'Demand Base Matrix'!G$33+'Demand Base Matrix'!G$34*$AF$2),IF($C5="Bond",(('Demand Base Matrix'!G$55+'Demand Base Matrix'!G$59)*$AC$2*$AD$2*$AE$2+('Demand Base Matrix'!G$56+'Demand Base Matrix'!G$57)*$W$2*$AD$2+'Demand Base Matrix'!G$58*$W$2*$AD$2*$AE$2+'Demand Base Matrix'!G$60+'Demand Base Matrix'!G$61*$AF$2),IF($C5="Explore",('Demand Base Matrix'!G$82*$AC$2*$AD$2*$AE$2*$AF$2+'Demand Base Matrix'!G$83*$W$2*$AC$2*$AD$2*$AE$2*$AF$2+'Demand Base Matrix'!G$84)))))</f>
        <v>40</v>
      </c>
      <c r="AK5">
        <f>IF($C5="Validate",(('Demand Base Matrix'!H$2+'Demand Base Matrix'!H$6)*$AC$2*$AD$2*$AE$2+('Demand Base Matrix'!H$3+'Demand Base Matrix'!H$4)*$W$2*$AD$2+'Demand Base Matrix'!H$5*$W$2*$AD$2*$AE$2+'Demand Base Matrix'!H$7+'Demand Base Matrix'!H$8*$AF$2),IF($C5="Integrate",(('Demand Base Matrix'!H$28+'Demand Base Matrix'!H$32)*$AC$2*$AD$2*$AE$2+('Demand Base Matrix'!H$29+'Demand Base Matrix'!H$30)*$W$2*$AD$2+'Demand Base Matrix'!H$31*$W$2*$AD$2*$AE$2+'Demand Base Matrix'!H$33+'Demand Base Matrix'!H$34*$AF$2),IF($C5="Bond",(('Demand Base Matrix'!H$55+'Demand Base Matrix'!H$59)*$AC$2*$AD$2*$AE$2+('Demand Base Matrix'!H$56+'Demand Base Matrix'!H$57)*$W$2*$AD$2+'Demand Base Matrix'!H$58*$W$2*$AD$2*$AE$2+'Demand Base Matrix'!H$60+'Demand Base Matrix'!H$61*$AF$2),IF($C5="Explore",('Demand Base Matrix'!H$82*$AC$2*$AD$2*$AE$2*$AF$2+'Demand Base Matrix'!H$83*$W$2*$AC$2*$AD$2*$AE$2*$AF$2+'Demand Base Matrix'!H$84)))))</f>
        <v>60</v>
      </c>
      <c r="AL5">
        <f>IF($C5="Validate",(('Demand Base Matrix'!I$2+'Demand Base Matrix'!I$6)*$AC$2*$AD$2*$AE$2+('Demand Base Matrix'!I$3+'Demand Base Matrix'!I$4)*$W$2*$AD$2+'Demand Base Matrix'!I$5*$W$2*$AD$2*$AE$2+'Demand Base Matrix'!I$7+'Demand Base Matrix'!I$8*$AF$2),IF($C5="Integrate",(('Demand Base Matrix'!I$28+'Demand Base Matrix'!I$32)*$AC$2*$AD$2*$AE$2+('Demand Base Matrix'!I$29+'Demand Base Matrix'!I$30)*$W$2*$AD$2+'Demand Base Matrix'!I$31*$W$2*$AD$2*$AE$2+'Demand Base Matrix'!I$33+'Demand Base Matrix'!I$34*$AF$2),IF($C5="Bond",(('Demand Base Matrix'!I$55+'Demand Base Matrix'!I$59)*$AC$2*$AD$2*$AE$2+('Demand Base Matrix'!I$56+'Demand Base Matrix'!I$57)*$W$2*$AD$2+'Demand Base Matrix'!I$58*$W$2*$AD$2*$AE$2+'Demand Base Matrix'!I$60+'Demand Base Matrix'!I$61*$AF$2),IF($C5="Explore",('Demand Base Matrix'!I$82*$AC$2*$AD$2*$AE$2*$AF$2+'Demand Base Matrix'!I$83*$W$2*$AC$2*$AD$2*$AE$2*$AF$2+'Demand Base Matrix'!I$84)))))</f>
        <v>10</v>
      </c>
      <c r="AM5">
        <f>IF($C5="Validate",(('Demand Base Matrix'!J$2+'Demand Base Matrix'!J$6)*$AC$2*$AD$2*$AE$2+('Demand Base Matrix'!J$3+'Demand Base Matrix'!J$4)*$W$2*$AD$2+'Demand Base Matrix'!J$5*$W$2*$AD$2*$AE$2+'Demand Base Matrix'!J$7+'Demand Base Matrix'!J$8*$AF$2),IF($C5="Integrate",(('Demand Base Matrix'!J$28+'Demand Base Matrix'!J$32)*$AC$2*$AD$2*$AE$2+('Demand Base Matrix'!J$29+'Demand Base Matrix'!J$30)*$W$2*$AD$2+'Demand Base Matrix'!J$31*$W$2*$AD$2*$AE$2+'Demand Base Matrix'!J$33+'Demand Base Matrix'!J$34*$AF$2),IF($C5="Bond",(('Demand Base Matrix'!J$55+'Demand Base Matrix'!J$59)*$AC$2*$AD$2*$AE$2+('Demand Base Matrix'!J$56+'Demand Base Matrix'!J$57)*$W$2*$AD$2+'Demand Base Matrix'!J$58*$W$2*$AD$2*$AE$2+'Demand Base Matrix'!J$60+'Demand Base Matrix'!J$61*$AF$2),IF($C5="Explore",('Demand Base Matrix'!J$82*$AC$2*$AD$2*$AE$2*$AF$2+'Demand Base Matrix'!J$83*$W$2*$AC$2*$AD$2*$AE$2*$AF$2+'Demand Base Matrix'!J$84)))))</f>
        <v>4</v>
      </c>
      <c r="AP5" s="5"/>
      <c r="AQ5" s="5"/>
      <c r="AR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</row>
    <row r="6" spans="1:95" x14ac:dyDescent="0.2">
      <c r="A6" t="s">
        <v>720</v>
      </c>
      <c r="B6" t="s">
        <v>28</v>
      </c>
      <c r="C6" t="s">
        <v>23</v>
      </c>
      <c r="D6" t="s">
        <v>178</v>
      </c>
      <c r="E6" t="s">
        <v>222</v>
      </c>
      <c r="F6" t="s">
        <v>799</v>
      </c>
      <c r="I6" t="str">
        <f>IFERROR(INDEX('Customer 360'!F:F,MATCH(B6,'Customer 360'!A:A,0)),"-")</f>
        <v>C</v>
      </c>
      <c r="J6">
        <v>6320</v>
      </c>
      <c r="K6"/>
      <c r="L6" s="4">
        <v>46239</v>
      </c>
      <c r="M6" s="4">
        <v>46239</v>
      </c>
      <c r="N6">
        <v>2026</v>
      </c>
      <c r="O6" s="4">
        <v>46023</v>
      </c>
      <c r="P6" t="s">
        <v>217</v>
      </c>
      <c r="Q6" s="18">
        <f t="shared" si="0"/>
        <v>46023</v>
      </c>
      <c r="R6" s="18">
        <f>IFERROR(IF(M6&lt;&gt;"",M6,IF(L6&lt;&gt;"",L6,INDEX('CSM RDD'!B:B,MATCH(B6,'CSM RDD'!A:A,0)))),"-")</f>
        <v>46239</v>
      </c>
      <c r="S6" s="18">
        <f t="shared" si="4"/>
        <v>46023</v>
      </c>
      <c r="T6" s="18">
        <f t="shared" si="5"/>
        <v>46235</v>
      </c>
      <c r="U6" s="6">
        <f t="shared" si="1"/>
        <v>6320</v>
      </c>
      <c r="V6" s="18">
        <f t="shared" si="2"/>
        <v>46082</v>
      </c>
      <c r="W6">
        <f>IF(U6=0,1,IF(U6&lt;='Demand Base Matrix'!$K$3,'Demand Base Matrix'!$L$3,IF(U6&lt;='Demand Base Matrix'!$K$4,'Demand Base Matrix'!$L$4,IF(U6&lt;='Demand Base Matrix'!$K$5,'Demand Base Matrix'!$L$5,IF(U6&lt;='Demand Base Matrix'!$K$6,'Demand Base Matrix'!$L$6,IF(U6&lt;='Demand Base Matrix'!$K$7,'Demand Base Matrix'!$L$7))))))</f>
        <v>1.25</v>
      </c>
      <c r="X6" s="4">
        <f t="shared" si="6"/>
        <v>46235</v>
      </c>
      <c r="Y6" t="str">
        <f t="shared" si="3"/>
        <v>Dx</v>
      </c>
      <c r="Z6" t="s">
        <v>685</v>
      </c>
      <c r="AA6" t="s">
        <v>685</v>
      </c>
      <c r="AB6" t="s">
        <v>685</v>
      </c>
      <c r="AC6">
        <f>IFERROR(INDEX('Demand Base Matrix'!AM:AM,MATCH(Y6,'Demand Base Matrix'!AL:AL,0)),"-")</f>
        <v>1</v>
      </c>
      <c r="AD6">
        <f>IFERROR(INDEX('Demand Base Matrix'!AO:AO,MATCH(Z6,'Demand Base Matrix'!AN:AN,0)),1)</f>
        <v>1</v>
      </c>
      <c r="AE6">
        <f>IFERROR(INDEX('Demand Base Matrix'!AQ:AQ,MATCH(AA6,'Demand Base Matrix'!AP:AP,0)),1)</f>
        <v>1</v>
      </c>
      <c r="AF6">
        <f>IFERROR(INDEX('Demand Base Matrix'!AS:AS,MATCH(AB6,'Demand Base Matrix'!AR:AR,0)),1)</f>
        <v>1</v>
      </c>
      <c r="AG6">
        <f>IF($C6="Validate",(('Demand Base Matrix'!D$2+'Demand Base Matrix'!D$6)*$AC$2*$AD$2*$AE$2+('Demand Base Matrix'!D$3+'Demand Base Matrix'!D$4)*$W$2*$AD$2+'Demand Base Matrix'!D$5*$W$2*$AD$2*$AE$2+'Demand Base Matrix'!D$7+'Demand Base Matrix'!D$8*$AF$2),IF($C6="Integrate",(('Demand Base Matrix'!D$28+'Demand Base Matrix'!D$32)*$AC$2*$AD$2*$AE$2+('Demand Base Matrix'!D$29+'Demand Base Matrix'!D$30)*$W$2*$AD$2+'Demand Base Matrix'!D$31*$W$2*$AD$2*$AE$2+'Demand Base Matrix'!D$33+'Demand Base Matrix'!D$34*$AF$2),IF($C6="Bond",(('Demand Base Matrix'!D$55+'Demand Base Matrix'!D$59)*$AC$2*$AD$2*$AE$2+('Demand Base Matrix'!D$56+'Demand Base Matrix'!D$57)*$W$2*$AD$2+'Demand Base Matrix'!D$58*$W$2*$AD$2*$AE$2+'Demand Base Matrix'!D$60+'Demand Base Matrix'!D$61*$AF$2),IF($C6="Explore",('Demand Base Matrix'!D$82*$AC$2*$AD$2*$AE$2*$AF$2+'Demand Base Matrix'!D$83*$W$2*$AC$2*$AD$2*$AE$2*$AF$2+'Demand Base Matrix'!D$84)))))</f>
        <v>10</v>
      </c>
      <c r="AH6">
        <f>IF($C6="Validate",(('Demand Base Matrix'!E$2+'Demand Base Matrix'!E$6)*$AC$2*$AD$2*$AE$2+('Demand Base Matrix'!E$3+'Demand Base Matrix'!E$4)*$W$2*$AD$2+'Demand Base Matrix'!E$5*$W$2*$AD$2*$AE$2+'Demand Base Matrix'!E$7+'Demand Base Matrix'!E$8*$AF$2),IF($C6="Integrate",(('Demand Base Matrix'!E$28+'Demand Base Matrix'!E$32)*$AC$2*$AD$2*$AE$2+('Demand Base Matrix'!E$29+'Demand Base Matrix'!E$30)*$W$2*$AD$2+'Demand Base Matrix'!E$31*$W$2*$AD$2*$AE$2+'Demand Base Matrix'!E$33+'Demand Base Matrix'!E$34*$AF$2),IF($C6="Bond",(('Demand Base Matrix'!E$55+'Demand Base Matrix'!E$59)*$AC$2*$AD$2*$AE$2+('Demand Base Matrix'!E$56+'Demand Base Matrix'!E$57)*$W$2*$AD$2+'Demand Base Matrix'!E$58*$W$2*$AD$2*$AE$2+'Demand Base Matrix'!E$60+'Demand Base Matrix'!E$61*$AF$2),IF($C6="Explore",('Demand Base Matrix'!E$82*$AC$2*$AD$2*$AE$2*$AF$2+'Demand Base Matrix'!E$83*$W$2*$AC$2*$AD$2*$AE$2*$AF$2+'Demand Base Matrix'!E$84)))))</f>
        <v>10</v>
      </c>
      <c r="AI6">
        <f>IF($C6="Validate",(('Demand Base Matrix'!F$2+'Demand Base Matrix'!F$6)*$AC$2*$AD$2*$AE$2+('Demand Base Matrix'!F$3+'Demand Base Matrix'!F$4)*$W$2*$AD$2+'Demand Base Matrix'!F$5*$W$2*$AD$2*$AE$2+'Demand Base Matrix'!F$7+'Demand Base Matrix'!F$8*$AF$2),IF($C6="Integrate",(('Demand Base Matrix'!F$28+'Demand Base Matrix'!F$32)*$AC$2*$AD$2*$AE$2+('Demand Base Matrix'!F$29+'Demand Base Matrix'!F$30)*$W$2*$AD$2+'Demand Base Matrix'!F$31*$W$2*$AD$2*$AE$2+'Demand Base Matrix'!F$33+'Demand Base Matrix'!F$34*$AF$2),IF($C6="Bond",(('Demand Base Matrix'!F$55+'Demand Base Matrix'!F$59)*$AC$2*$AD$2*$AE$2+('Demand Base Matrix'!F$56+'Demand Base Matrix'!F$57)*$W$2*$AD$2+'Demand Base Matrix'!F$58*$W$2*$AD$2*$AE$2+'Demand Base Matrix'!F$60+'Demand Base Matrix'!F$61*$AF$2),IF($C6="Explore",('Demand Base Matrix'!F$82*$AC$2*$AD$2*$AE$2*$AF$2+'Demand Base Matrix'!F$83*$W$2*$AC$2*$AD$2*$AE$2*$AF$2+'Demand Base Matrix'!F$84)))))</f>
        <v>10</v>
      </c>
      <c r="AJ6">
        <f>IF($C6="Validate",(('Demand Base Matrix'!G$2+'Demand Base Matrix'!G$6)*$AC$2*$AD$2*$AE$2+('Demand Base Matrix'!G$3+'Demand Base Matrix'!G$4)*$W$2*$AD$2+'Demand Base Matrix'!G$5*$W$2*$AD$2*$AE$2+'Demand Base Matrix'!G$7+'Demand Base Matrix'!G$8*$AF$2),IF($C6="Integrate",(('Demand Base Matrix'!G$28+'Demand Base Matrix'!G$32)*$AC$2*$AD$2*$AE$2+('Demand Base Matrix'!G$29+'Demand Base Matrix'!G$30)*$W$2*$AD$2+'Demand Base Matrix'!G$31*$W$2*$AD$2*$AE$2+'Demand Base Matrix'!G$33+'Demand Base Matrix'!G$34*$AF$2),IF($C6="Bond",(('Demand Base Matrix'!G$55+'Demand Base Matrix'!G$59)*$AC$2*$AD$2*$AE$2+('Demand Base Matrix'!G$56+'Demand Base Matrix'!G$57)*$W$2*$AD$2+'Demand Base Matrix'!G$58*$W$2*$AD$2*$AE$2+'Demand Base Matrix'!G$60+'Demand Base Matrix'!G$61*$AF$2),IF($C6="Explore",('Demand Base Matrix'!G$82*$AC$2*$AD$2*$AE$2*$AF$2+'Demand Base Matrix'!G$83*$W$2*$AC$2*$AD$2*$AE$2*$AF$2+'Demand Base Matrix'!G$84)))))</f>
        <v>50</v>
      </c>
      <c r="AK6">
        <f>IF($C6="Validate",(('Demand Base Matrix'!H$2+'Demand Base Matrix'!H$6)*$AC$2*$AD$2*$AE$2+('Demand Base Matrix'!H$3+'Demand Base Matrix'!H$4)*$W$2*$AD$2+'Demand Base Matrix'!H$5*$W$2*$AD$2*$AE$2+'Demand Base Matrix'!H$7+'Demand Base Matrix'!H$8*$AF$2),IF($C6="Integrate",(('Demand Base Matrix'!H$28+'Demand Base Matrix'!H$32)*$AC$2*$AD$2*$AE$2+('Demand Base Matrix'!H$29+'Demand Base Matrix'!H$30)*$W$2*$AD$2+'Demand Base Matrix'!H$31*$W$2*$AD$2*$AE$2+'Demand Base Matrix'!H$33+'Demand Base Matrix'!H$34*$AF$2),IF($C6="Bond",(('Demand Base Matrix'!H$55+'Demand Base Matrix'!H$59)*$AC$2*$AD$2*$AE$2+('Demand Base Matrix'!H$56+'Demand Base Matrix'!H$57)*$W$2*$AD$2+'Demand Base Matrix'!H$58*$W$2*$AD$2*$AE$2+'Demand Base Matrix'!H$60+'Demand Base Matrix'!H$61*$AF$2),IF($C6="Explore",('Demand Base Matrix'!H$82*$AC$2*$AD$2*$AE$2*$AF$2+'Demand Base Matrix'!H$83*$W$2*$AC$2*$AD$2*$AE$2*$AF$2+'Demand Base Matrix'!H$84)))))</f>
        <v>28</v>
      </c>
      <c r="AL6">
        <f>IF($C6="Validate",(('Demand Base Matrix'!I$2+'Demand Base Matrix'!I$6)*$AC$2*$AD$2*$AE$2+('Demand Base Matrix'!I$3+'Demand Base Matrix'!I$4)*$W$2*$AD$2+'Demand Base Matrix'!I$5*$W$2*$AD$2*$AE$2+'Demand Base Matrix'!I$7+'Demand Base Matrix'!I$8*$AF$2),IF($C6="Integrate",(('Demand Base Matrix'!I$28+'Demand Base Matrix'!I$32)*$AC$2*$AD$2*$AE$2+('Demand Base Matrix'!I$29+'Demand Base Matrix'!I$30)*$W$2*$AD$2+'Demand Base Matrix'!I$31*$W$2*$AD$2*$AE$2+'Demand Base Matrix'!I$33+'Demand Base Matrix'!I$34*$AF$2),IF($C6="Bond",(('Demand Base Matrix'!I$55+'Demand Base Matrix'!I$59)*$AC$2*$AD$2*$AE$2+('Demand Base Matrix'!I$56+'Demand Base Matrix'!I$57)*$W$2*$AD$2+'Demand Base Matrix'!I$58*$W$2*$AD$2*$AE$2+'Demand Base Matrix'!I$60+'Demand Base Matrix'!I$61*$AF$2),IF($C6="Explore",('Demand Base Matrix'!I$82*$AC$2*$AD$2*$AE$2*$AF$2+'Demand Base Matrix'!I$83*$W$2*$AC$2*$AD$2*$AE$2*$AF$2+'Demand Base Matrix'!I$84)))))</f>
        <v>8</v>
      </c>
      <c r="AM6">
        <f>IF($C6="Validate",(('Demand Base Matrix'!J$2+'Demand Base Matrix'!J$6)*$AC$2*$AD$2*$AE$2+('Demand Base Matrix'!J$3+'Demand Base Matrix'!J$4)*$W$2*$AD$2+'Demand Base Matrix'!J$5*$W$2*$AD$2*$AE$2+'Demand Base Matrix'!J$7+'Demand Base Matrix'!J$8*$AF$2),IF($C6="Integrate",(('Demand Base Matrix'!J$28+'Demand Base Matrix'!J$32)*$AC$2*$AD$2*$AE$2+('Demand Base Matrix'!J$29+'Demand Base Matrix'!J$30)*$W$2*$AD$2+'Demand Base Matrix'!J$31*$W$2*$AD$2*$AE$2+'Demand Base Matrix'!J$33+'Demand Base Matrix'!J$34*$AF$2),IF($C6="Bond",(('Demand Base Matrix'!J$55+'Demand Base Matrix'!J$59)*$AC$2*$AD$2*$AE$2+('Demand Base Matrix'!J$56+'Demand Base Matrix'!J$57)*$W$2*$AD$2+'Demand Base Matrix'!J$58*$W$2*$AD$2*$AE$2+'Demand Base Matrix'!J$60+'Demand Base Matrix'!J$61*$AF$2),IF($C6="Explore",('Demand Base Matrix'!J$82*$AC$2*$AD$2*$AE$2*$AF$2+'Demand Base Matrix'!J$83*$W$2*$AC$2*$AD$2*$AE$2*$AF$2+'Demand Base Matrix'!J$84)))))</f>
        <v>8</v>
      </c>
      <c r="AP6" s="5"/>
      <c r="AQ6" s="5"/>
      <c r="AR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</row>
    <row r="7" spans="1:95" x14ac:dyDescent="0.2">
      <c r="A7" t="s">
        <v>721</v>
      </c>
      <c r="B7" t="s">
        <v>30</v>
      </c>
      <c r="C7" t="s">
        <v>32</v>
      </c>
      <c r="D7" t="s">
        <v>179</v>
      </c>
      <c r="E7" t="s">
        <v>116</v>
      </c>
      <c r="F7" t="s">
        <v>800</v>
      </c>
      <c r="I7" t="str">
        <f>IFERROR(INDEX('Customer 360'!F:F,MATCH(B7,'Customer 360'!A:A,0)),"-")</f>
        <v>C</v>
      </c>
      <c r="J7">
        <v>7650</v>
      </c>
      <c r="K7"/>
      <c r="L7" s="4">
        <v>46300</v>
      </c>
      <c r="M7" s="4">
        <v>46300</v>
      </c>
      <c r="N7">
        <v>2026</v>
      </c>
      <c r="O7" s="4">
        <v>46023</v>
      </c>
      <c r="P7" t="s">
        <v>217</v>
      </c>
      <c r="Q7" s="18">
        <f t="shared" si="0"/>
        <v>46023</v>
      </c>
      <c r="R7" s="18">
        <f>IFERROR(IF(M7&lt;&gt;"",M7,IF(L7&lt;&gt;"",L7,INDEX('CSM RDD'!B:B,MATCH(B7,'CSM RDD'!A:A,0)))),"-")</f>
        <v>46300</v>
      </c>
      <c r="S7" s="18">
        <f t="shared" si="4"/>
        <v>46023</v>
      </c>
      <c r="T7" s="18">
        <f t="shared" si="5"/>
        <v>46296</v>
      </c>
      <c r="U7" s="6">
        <f t="shared" si="1"/>
        <v>7650</v>
      </c>
      <c r="V7" s="18">
        <f t="shared" si="2"/>
        <v>46082</v>
      </c>
      <c r="W7">
        <f>IF(U7=0,1,IF(U7&lt;='Demand Base Matrix'!$K$3,'Demand Base Matrix'!$L$3,IF(U7&lt;='Demand Base Matrix'!$K$4,'Demand Base Matrix'!$L$4,IF(U7&lt;='Demand Base Matrix'!$K$5,'Demand Base Matrix'!$L$5,IF(U7&lt;='Demand Base Matrix'!$K$6,'Demand Base Matrix'!$L$6,IF(U7&lt;='Demand Base Matrix'!$K$7,'Demand Base Matrix'!$L$7))))))</f>
        <v>1.25</v>
      </c>
      <c r="X7" s="4">
        <f t="shared" si="6"/>
        <v>46296</v>
      </c>
      <c r="Y7" t="str">
        <f t="shared" si="3"/>
        <v>Dx</v>
      </c>
      <c r="Z7" t="s">
        <v>685</v>
      </c>
      <c r="AA7" t="s">
        <v>685</v>
      </c>
      <c r="AB7" t="s">
        <v>682</v>
      </c>
      <c r="AC7">
        <f>IFERROR(INDEX('Demand Base Matrix'!AM:AM,MATCH(Y7,'Demand Base Matrix'!AL:AL,0)),"-")</f>
        <v>1</v>
      </c>
      <c r="AD7">
        <f>IFERROR(INDEX('Demand Base Matrix'!AO:AO,MATCH(Z7,'Demand Base Matrix'!AN:AN,0)),1)</f>
        <v>1</v>
      </c>
      <c r="AE7">
        <f>IFERROR(INDEX('Demand Base Matrix'!AQ:AQ,MATCH(AA7,'Demand Base Matrix'!AP:AP,0)),1)</f>
        <v>1</v>
      </c>
      <c r="AF7">
        <f>IFERROR(INDEX('Demand Base Matrix'!AS:AS,MATCH(AB7,'Demand Base Matrix'!AR:AR,0)),1)</f>
        <v>2</v>
      </c>
      <c r="AG7">
        <f>IF($C7="Validate",(('Demand Base Matrix'!D$2+'Demand Base Matrix'!D$6)*$AC$2*$AD$2*$AE$2+('Demand Base Matrix'!D$3+'Demand Base Matrix'!D$4)*$W$2*$AD$2+'Demand Base Matrix'!D$5*$W$2*$AD$2*$AE$2+'Demand Base Matrix'!D$7+'Demand Base Matrix'!D$8*$AF$2),IF($C7="Integrate",(('Demand Base Matrix'!D$28+'Demand Base Matrix'!D$32)*$AC$2*$AD$2*$AE$2+('Demand Base Matrix'!D$29+'Demand Base Matrix'!D$30)*$W$2*$AD$2+'Demand Base Matrix'!D$31*$W$2*$AD$2*$AE$2+'Demand Base Matrix'!D$33+'Demand Base Matrix'!D$34*$AF$2),IF($C7="Bond",(('Demand Base Matrix'!D$55+'Demand Base Matrix'!D$59)*$AC$2*$AD$2*$AE$2+('Demand Base Matrix'!D$56+'Demand Base Matrix'!D$57)*$W$2*$AD$2+'Demand Base Matrix'!D$58*$W$2*$AD$2*$AE$2+'Demand Base Matrix'!D$60+'Demand Base Matrix'!D$61*$AF$2),IF($C7="Explore",('Demand Base Matrix'!D$82*$AC$2*$AD$2*$AE$2*$AF$2+'Demand Base Matrix'!D$83*$W$2*$AC$2*$AD$2*$AE$2*$AF$2+'Demand Base Matrix'!D$84)))))</f>
        <v>10</v>
      </c>
      <c r="AH7">
        <f>IF($C7="Validate",(('Demand Base Matrix'!E$2+'Demand Base Matrix'!E$6)*$AC$2*$AD$2*$AE$2+('Demand Base Matrix'!E$3+'Demand Base Matrix'!E$4)*$W$2*$AD$2+'Demand Base Matrix'!E$5*$W$2*$AD$2*$AE$2+'Demand Base Matrix'!E$7+'Demand Base Matrix'!E$8*$AF$2),IF($C7="Integrate",(('Demand Base Matrix'!E$28+'Demand Base Matrix'!E$32)*$AC$2*$AD$2*$AE$2+('Demand Base Matrix'!E$29+'Demand Base Matrix'!E$30)*$W$2*$AD$2+'Demand Base Matrix'!E$31*$W$2*$AD$2*$AE$2+'Demand Base Matrix'!E$33+'Demand Base Matrix'!E$34*$AF$2),IF($C7="Bond",(('Demand Base Matrix'!E$55+'Demand Base Matrix'!E$59)*$AC$2*$AD$2*$AE$2+('Demand Base Matrix'!E$56+'Demand Base Matrix'!E$57)*$W$2*$AD$2+'Demand Base Matrix'!E$58*$W$2*$AD$2*$AE$2+'Demand Base Matrix'!E$60+'Demand Base Matrix'!E$61*$AF$2),IF($C7="Explore",('Demand Base Matrix'!E$82*$AC$2*$AD$2*$AE$2*$AF$2+'Demand Base Matrix'!E$83*$W$2*$AC$2*$AD$2*$AE$2*$AF$2+'Demand Base Matrix'!E$84)))))</f>
        <v>20</v>
      </c>
      <c r="AI7">
        <f>IF($C7="Validate",(('Demand Base Matrix'!F$2+'Demand Base Matrix'!F$6)*$AC$2*$AD$2*$AE$2+('Demand Base Matrix'!F$3+'Demand Base Matrix'!F$4)*$W$2*$AD$2+'Demand Base Matrix'!F$5*$W$2*$AD$2*$AE$2+'Demand Base Matrix'!F$7+'Demand Base Matrix'!F$8*$AF$2),IF($C7="Integrate",(('Demand Base Matrix'!F$28+'Demand Base Matrix'!F$32)*$AC$2*$AD$2*$AE$2+('Demand Base Matrix'!F$29+'Demand Base Matrix'!F$30)*$W$2*$AD$2+'Demand Base Matrix'!F$31*$W$2*$AD$2*$AE$2+'Demand Base Matrix'!F$33+'Demand Base Matrix'!F$34*$AF$2),IF($C7="Bond",(('Demand Base Matrix'!F$55+'Demand Base Matrix'!F$59)*$AC$2*$AD$2*$AE$2+('Demand Base Matrix'!F$56+'Demand Base Matrix'!F$57)*$W$2*$AD$2+'Demand Base Matrix'!F$58*$W$2*$AD$2*$AE$2+'Demand Base Matrix'!F$60+'Demand Base Matrix'!F$61*$AF$2),IF($C7="Explore",('Demand Base Matrix'!F$82*$AC$2*$AD$2*$AE$2*$AF$2+'Demand Base Matrix'!F$83*$W$2*$AC$2*$AD$2*$AE$2*$AF$2+'Demand Base Matrix'!F$84)))))</f>
        <v>10</v>
      </c>
      <c r="AJ7">
        <f>IF($C7="Validate",(('Demand Base Matrix'!G$2+'Demand Base Matrix'!G$6)*$AC$2*$AD$2*$AE$2+('Demand Base Matrix'!G$3+'Demand Base Matrix'!G$4)*$W$2*$AD$2+'Demand Base Matrix'!G$5*$W$2*$AD$2*$AE$2+'Demand Base Matrix'!G$7+'Demand Base Matrix'!G$8*$AF$2),IF($C7="Integrate",(('Demand Base Matrix'!G$28+'Demand Base Matrix'!G$32)*$AC$2*$AD$2*$AE$2+('Demand Base Matrix'!G$29+'Demand Base Matrix'!G$30)*$W$2*$AD$2+'Demand Base Matrix'!G$31*$W$2*$AD$2*$AE$2+'Demand Base Matrix'!G$33+'Demand Base Matrix'!G$34*$AF$2),IF($C7="Bond",(('Demand Base Matrix'!G$55+'Demand Base Matrix'!G$59)*$AC$2*$AD$2*$AE$2+('Demand Base Matrix'!G$56+'Demand Base Matrix'!G$57)*$W$2*$AD$2+'Demand Base Matrix'!G$58*$W$2*$AD$2*$AE$2+'Demand Base Matrix'!G$60+'Demand Base Matrix'!G$61*$AF$2),IF($C7="Explore",('Demand Base Matrix'!G$82*$AC$2*$AD$2*$AE$2*$AF$2+'Demand Base Matrix'!G$83*$W$2*$AC$2*$AD$2*$AE$2*$AF$2+'Demand Base Matrix'!G$84)))))</f>
        <v>60</v>
      </c>
      <c r="AK7">
        <f>IF($C7="Validate",(('Demand Base Matrix'!H$2+'Demand Base Matrix'!H$6)*$AC$2*$AD$2*$AE$2+('Demand Base Matrix'!H$3+'Demand Base Matrix'!H$4)*$W$2*$AD$2+'Demand Base Matrix'!H$5*$W$2*$AD$2*$AE$2+'Demand Base Matrix'!H$7+'Demand Base Matrix'!H$8*$AF$2),IF($C7="Integrate",(('Demand Base Matrix'!H$28+'Demand Base Matrix'!H$32)*$AC$2*$AD$2*$AE$2+('Demand Base Matrix'!H$29+'Demand Base Matrix'!H$30)*$W$2*$AD$2+'Demand Base Matrix'!H$31*$W$2*$AD$2*$AE$2+'Demand Base Matrix'!H$33+'Demand Base Matrix'!H$34*$AF$2),IF($C7="Bond",(('Demand Base Matrix'!H$55+'Demand Base Matrix'!H$59)*$AC$2*$AD$2*$AE$2+('Demand Base Matrix'!H$56+'Demand Base Matrix'!H$57)*$W$2*$AD$2+'Demand Base Matrix'!H$58*$W$2*$AD$2*$AE$2+'Demand Base Matrix'!H$60+'Demand Base Matrix'!H$61*$AF$2),IF($C7="Explore",('Demand Base Matrix'!H$82*$AC$2*$AD$2*$AE$2*$AF$2+'Demand Base Matrix'!H$83*$W$2*$AC$2*$AD$2*$AE$2*$AF$2+'Demand Base Matrix'!H$84)))))</f>
        <v>28</v>
      </c>
      <c r="AL7">
        <f>IF($C7="Validate",(('Demand Base Matrix'!I$2+'Demand Base Matrix'!I$6)*$AC$2*$AD$2*$AE$2+('Demand Base Matrix'!I$3+'Demand Base Matrix'!I$4)*$W$2*$AD$2+'Demand Base Matrix'!I$5*$W$2*$AD$2*$AE$2+'Demand Base Matrix'!I$7+'Demand Base Matrix'!I$8*$AF$2),IF($C7="Integrate",(('Demand Base Matrix'!I$28+'Demand Base Matrix'!I$32)*$AC$2*$AD$2*$AE$2+('Demand Base Matrix'!I$29+'Demand Base Matrix'!I$30)*$W$2*$AD$2+'Demand Base Matrix'!I$31*$W$2*$AD$2*$AE$2+'Demand Base Matrix'!I$33+'Demand Base Matrix'!I$34*$AF$2),IF($C7="Bond",(('Demand Base Matrix'!I$55+'Demand Base Matrix'!I$59)*$AC$2*$AD$2*$AE$2+('Demand Base Matrix'!I$56+'Demand Base Matrix'!I$57)*$W$2*$AD$2+'Demand Base Matrix'!I$58*$W$2*$AD$2*$AE$2+'Demand Base Matrix'!I$60+'Demand Base Matrix'!I$61*$AF$2),IF($C7="Explore",('Demand Base Matrix'!I$82*$AC$2*$AD$2*$AE$2*$AF$2+'Demand Base Matrix'!I$83*$W$2*$AC$2*$AD$2*$AE$2*$AF$2+'Demand Base Matrix'!I$84)))))</f>
        <v>8</v>
      </c>
      <c r="AM7">
        <f>IF($C7="Validate",(('Demand Base Matrix'!J$2+'Demand Base Matrix'!J$6)*$AC$2*$AD$2*$AE$2+('Demand Base Matrix'!J$3+'Demand Base Matrix'!J$4)*$W$2*$AD$2+'Demand Base Matrix'!J$5*$W$2*$AD$2*$AE$2+'Demand Base Matrix'!J$7+'Demand Base Matrix'!J$8*$AF$2),IF($C7="Integrate",(('Demand Base Matrix'!J$28+'Demand Base Matrix'!J$32)*$AC$2*$AD$2*$AE$2+('Demand Base Matrix'!J$29+'Demand Base Matrix'!J$30)*$W$2*$AD$2+'Demand Base Matrix'!J$31*$W$2*$AD$2*$AE$2+'Demand Base Matrix'!J$33+'Demand Base Matrix'!J$34*$AF$2),IF($C7="Bond",(('Demand Base Matrix'!J$55+'Demand Base Matrix'!J$59)*$AC$2*$AD$2*$AE$2+('Demand Base Matrix'!J$56+'Demand Base Matrix'!J$57)*$W$2*$AD$2+'Demand Base Matrix'!J$58*$W$2*$AD$2*$AE$2+'Demand Base Matrix'!J$60+'Demand Base Matrix'!J$61*$AF$2),IF($C7="Explore",('Demand Base Matrix'!J$82*$AC$2*$AD$2*$AE$2*$AF$2+'Demand Base Matrix'!J$83*$W$2*$AC$2*$AD$2*$AE$2*$AF$2+'Demand Base Matrix'!J$84)))))</f>
        <v>8</v>
      </c>
      <c r="AP7" s="5"/>
      <c r="AQ7" s="5"/>
      <c r="AR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</row>
    <row r="8" spans="1:95" x14ac:dyDescent="0.2">
      <c r="A8" t="s">
        <v>722</v>
      </c>
      <c r="B8" t="s">
        <v>35</v>
      </c>
      <c r="C8" t="s">
        <v>23</v>
      </c>
      <c r="D8" t="s">
        <v>36</v>
      </c>
      <c r="E8" t="s">
        <v>25</v>
      </c>
      <c r="F8" t="s">
        <v>799</v>
      </c>
      <c r="I8" t="str">
        <f>IFERROR(INDEX('Customer 360'!F:F,MATCH(B8,'Customer 360'!A:A,0)),"-")</f>
        <v>C</v>
      </c>
      <c r="J8">
        <v>206</v>
      </c>
      <c r="K8">
        <v>0</v>
      </c>
      <c r="L8" s="4">
        <v>46293</v>
      </c>
      <c r="M8" s="4">
        <v>46293</v>
      </c>
      <c r="N8">
        <v>2026</v>
      </c>
      <c r="O8" s="4">
        <v>46023</v>
      </c>
      <c r="P8" t="s">
        <v>217</v>
      </c>
      <c r="Q8" s="18">
        <f t="shared" si="0"/>
        <v>46023</v>
      </c>
      <c r="R8" s="18">
        <f>IFERROR(IF(M8&lt;&gt;"",M8,IF(L8&lt;&gt;"",L8,INDEX('CSM RDD'!B:B,MATCH(B8,'CSM RDD'!A:A,0)))),"-")</f>
        <v>46293</v>
      </c>
      <c r="S8" s="18">
        <f t="shared" si="4"/>
        <v>46023</v>
      </c>
      <c r="T8" s="18">
        <f t="shared" si="5"/>
        <v>46266</v>
      </c>
      <c r="U8" s="6">
        <f t="shared" si="1"/>
        <v>206</v>
      </c>
      <c r="V8" s="18">
        <f t="shared" si="2"/>
        <v>46082</v>
      </c>
      <c r="W8">
        <f>IF(U8=0,1,IF(U8&lt;='Demand Base Matrix'!$K$3,'Demand Base Matrix'!$L$3,IF(U8&lt;='Demand Base Matrix'!$K$4,'Demand Base Matrix'!$L$4,IF(U8&lt;='Demand Base Matrix'!$K$5,'Demand Base Matrix'!$L$5,IF(U8&lt;='Demand Base Matrix'!$K$6,'Demand Base Matrix'!$L$6,IF(U8&lt;='Demand Base Matrix'!$K$7,'Demand Base Matrix'!$L$7))))))</f>
        <v>0.75</v>
      </c>
      <c r="X8" s="4">
        <f t="shared" si="6"/>
        <v>46266</v>
      </c>
      <c r="Y8" t="str">
        <f t="shared" si="3"/>
        <v>Dx</v>
      </c>
      <c r="Z8" t="s">
        <v>684</v>
      </c>
      <c r="AA8" t="s">
        <v>685</v>
      </c>
      <c r="AB8" t="s">
        <v>685</v>
      </c>
      <c r="AC8">
        <f>IFERROR(INDEX('Demand Base Matrix'!AM:AM,MATCH(Y8,'Demand Base Matrix'!AL:AL,0)),"-")</f>
        <v>1</v>
      </c>
      <c r="AD8">
        <f>IFERROR(INDEX('Demand Base Matrix'!AO:AO,MATCH(Z8,'Demand Base Matrix'!AN:AN,0)),1)</f>
        <v>1.25</v>
      </c>
      <c r="AE8">
        <f>IFERROR(INDEX('Demand Base Matrix'!AQ:AQ,MATCH(AA8,'Demand Base Matrix'!AP:AP,0)),1)</f>
        <v>1</v>
      </c>
      <c r="AF8">
        <f>IFERROR(INDEX('Demand Base Matrix'!AS:AS,MATCH(AB8,'Demand Base Matrix'!AR:AR,0)),1)</f>
        <v>1</v>
      </c>
      <c r="AG8">
        <f>IF($C8="Validate",(('Demand Base Matrix'!D$2+'Demand Base Matrix'!D$6)*$AC$2*$AD$2*$AE$2+('Demand Base Matrix'!D$3+'Demand Base Matrix'!D$4)*$W$2*$AD$2+'Demand Base Matrix'!D$5*$W$2*$AD$2*$AE$2+'Demand Base Matrix'!D$7+'Demand Base Matrix'!D$8*$AF$2),IF($C8="Integrate",(('Demand Base Matrix'!D$28+'Demand Base Matrix'!D$32)*$AC$2*$AD$2*$AE$2+('Demand Base Matrix'!D$29+'Demand Base Matrix'!D$30)*$W$2*$AD$2+'Demand Base Matrix'!D$31*$W$2*$AD$2*$AE$2+'Demand Base Matrix'!D$33+'Demand Base Matrix'!D$34*$AF$2),IF($C8="Bond",(('Demand Base Matrix'!D$55+'Demand Base Matrix'!D$59)*$AC$2*$AD$2*$AE$2+('Demand Base Matrix'!D$56+'Demand Base Matrix'!D$57)*$W$2*$AD$2+'Demand Base Matrix'!D$58*$W$2*$AD$2*$AE$2+'Demand Base Matrix'!D$60+'Demand Base Matrix'!D$61*$AF$2),IF($C8="Explore",('Demand Base Matrix'!D$82*$AC$2*$AD$2*$AE$2*$AF$2+'Demand Base Matrix'!D$83*$W$2*$AC$2*$AD$2*$AE$2*$AF$2+'Demand Base Matrix'!D$84)))))</f>
        <v>10</v>
      </c>
      <c r="AH8">
        <f>IF($C8="Validate",(('Demand Base Matrix'!E$2+'Demand Base Matrix'!E$6)*$AC$2*$AD$2*$AE$2+('Demand Base Matrix'!E$3+'Demand Base Matrix'!E$4)*$W$2*$AD$2+'Demand Base Matrix'!E$5*$W$2*$AD$2*$AE$2+'Demand Base Matrix'!E$7+'Demand Base Matrix'!E$8*$AF$2),IF($C8="Integrate",(('Demand Base Matrix'!E$28+'Demand Base Matrix'!E$32)*$AC$2*$AD$2*$AE$2+('Demand Base Matrix'!E$29+'Demand Base Matrix'!E$30)*$W$2*$AD$2+'Demand Base Matrix'!E$31*$W$2*$AD$2*$AE$2+'Demand Base Matrix'!E$33+'Demand Base Matrix'!E$34*$AF$2),IF($C8="Bond",(('Demand Base Matrix'!E$55+'Demand Base Matrix'!E$59)*$AC$2*$AD$2*$AE$2+('Demand Base Matrix'!E$56+'Demand Base Matrix'!E$57)*$W$2*$AD$2+'Demand Base Matrix'!E$58*$W$2*$AD$2*$AE$2+'Demand Base Matrix'!E$60+'Demand Base Matrix'!E$61*$AF$2),IF($C8="Explore",('Demand Base Matrix'!E$82*$AC$2*$AD$2*$AE$2*$AF$2+'Demand Base Matrix'!E$83*$W$2*$AC$2*$AD$2*$AE$2*$AF$2+'Demand Base Matrix'!E$84)))))</f>
        <v>10</v>
      </c>
      <c r="AI8">
        <f>IF($C8="Validate",(('Demand Base Matrix'!F$2+'Demand Base Matrix'!F$6)*$AC$2*$AD$2*$AE$2+('Demand Base Matrix'!F$3+'Demand Base Matrix'!F$4)*$W$2*$AD$2+'Demand Base Matrix'!F$5*$W$2*$AD$2*$AE$2+'Demand Base Matrix'!F$7+'Demand Base Matrix'!F$8*$AF$2),IF($C8="Integrate",(('Demand Base Matrix'!F$28+'Demand Base Matrix'!F$32)*$AC$2*$AD$2*$AE$2+('Demand Base Matrix'!F$29+'Demand Base Matrix'!F$30)*$W$2*$AD$2+'Demand Base Matrix'!F$31*$W$2*$AD$2*$AE$2+'Demand Base Matrix'!F$33+'Demand Base Matrix'!F$34*$AF$2),IF($C8="Bond",(('Demand Base Matrix'!F$55+'Demand Base Matrix'!F$59)*$AC$2*$AD$2*$AE$2+('Demand Base Matrix'!F$56+'Demand Base Matrix'!F$57)*$W$2*$AD$2+'Demand Base Matrix'!F$58*$W$2*$AD$2*$AE$2+'Demand Base Matrix'!F$60+'Demand Base Matrix'!F$61*$AF$2),IF($C8="Explore",('Demand Base Matrix'!F$82*$AC$2*$AD$2*$AE$2*$AF$2+'Demand Base Matrix'!F$83*$W$2*$AC$2*$AD$2*$AE$2*$AF$2+'Demand Base Matrix'!F$84)))))</f>
        <v>10</v>
      </c>
      <c r="AJ8">
        <f>IF($C8="Validate",(('Demand Base Matrix'!G$2+'Demand Base Matrix'!G$6)*$AC$2*$AD$2*$AE$2+('Demand Base Matrix'!G$3+'Demand Base Matrix'!G$4)*$W$2*$AD$2+'Demand Base Matrix'!G$5*$W$2*$AD$2*$AE$2+'Demand Base Matrix'!G$7+'Demand Base Matrix'!G$8*$AF$2),IF($C8="Integrate",(('Demand Base Matrix'!G$28+'Demand Base Matrix'!G$32)*$AC$2*$AD$2*$AE$2+('Demand Base Matrix'!G$29+'Demand Base Matrix'!G$30)*$W$2*$AD$2+'Demand Base Matrix'!G$31*$W$2*$AD$2*$AE$2+'Demand Base Matrix'!G$33+'Demand Base Matrix'!G$34*$AF$2),IF($C8="Bond",(('Demand Base Matrix'!G$55+'Demand Base Matrix'!G$59)*$AC$2*$AD$2*$AE$2+('Demand Base Matrix'!G$56+'Demand Base Matrix'!G$57)*$W$2*$AD$2+'Demand Base Matrix'!G$58*$W$2*$AD$2*$AE$2+'Demand Base Matrix'!G$60+'Demand Base Matrix'!G$61*$AF$2),IF($C8="Explore",('Demand Base Matrix'!G$82*$AC$2*$AD$2*$AE$2*$AF$2+'Demand Base Matrix'!G$83*$W$2*$AC$2*$AD$2*$AE$2*$AF$2+'Demand Base Matrix'!G$84)))))</f>
        <v>50</v>
      </c>
      <c r="AK8">
        <f>IF($C8="Validate",(('Demand Base Matrix'!H$2+'Demand Base Matrix'!H$6)*$AC$2*$AD$2*$AE$2+('Demand Base Matrix'!H$3+'Demand Base Matrix'!H$4)*$W$2*$AD$2+'Demand Base Matrix'!H$5*$W$2*$AD$2*$AE$2+'Demand Base Matrix'!H$7+'Demand Base Matrix'!H$8*$AF$2),IF($C8="Integrate",(('Demand Base Matrix'!H$28+'Demand Base Matrix'!H$32)*$AC$2*$AD$2*$AE$2+('Demand Base Matrix'!H$29+'Demand Base Matrix'!H$30)*$W$2*$AD$2+'Demand Base Matrix'!H$31*$W$2*$AD$2*$AE$2+'Demand Base Matrix'!H$33+'Demand Base Matrix'!H$34*$AF$2),IF($C8="Bond",(('Demand Base Matrix'!H$55+'Demand Base Matrix'!H$59)*$AC$2*$AD$2*$AE$2+('Demand Base Matrix'!H$56+'Demand Base Matrix'!H$57)*$W$2*$AD$2+'Demand Base Matrix'!H$58*$W$2*$AD$2*$AE$2+'Demand Base Matrix'!H$60+'Demand Base Matrix'!H$61*$AF$2),IF($C8="Explore",('Demand Base Matrix'!H$82*$AC$2*$AD$2*$AE$2*$AF$2+'Demand Base Matrix'!H$83*$W$2*$AC$2*$AD$2*$AE$2*$AF$2+'Demand Base Matrix'!H$84)))))</f>
        <v>28</v>
      </c>
      <c r="AL8">
        <f>IF($C8="Validate",(('Demand Base Matrix'!I$2+'Demand Base Matrix'!I$6)*$AC$2*$AD$2*$AE$2+('Demand Base Matrix'!I$3+'Demand Base Matrix'!I$4)*$W$2*$AD$2+'Demand Base Matrix'!I$5*$W$2*$AD$2*$AE$2+'Demand Base Matrix'!I$7+'Demand Base Matrix'!I$8*$AF$2),IF($C8="Integrate",(('Demand Base Matrix'!I$28+'Demand Base Matrix'!I$32)*$AC$2*$AD$2*$AE$2+('Demand Base Matrix'!I$29+'Demand Base Matrix'!I$30)*$W$2*$AD$2+'Demand Base Matrix'!I$31*$W$2*$AD$2*$AE$2+'Demand Base Matrix'!I$33+'Demand Base Matrix'!I$34*$AF$2),IF($C8="Bond",(('Demand Base Matrix'!I$55+'Demand Base Matrix'!I$59)*$AC$2*$AD$2*$AE$2+('Demand Base Matrix'!I$56+'Demand Base Matrix'!I$57)*$W$2*$AD$2+'Demand Base Matrix'!I$58*$W$2*$AD$2*$AE$2+'Demand Base Matrix'!I$60+'Demand Base Matrix'!I$61*$AF$2),IF($C8="Explore",('Demand Base Matrix'!I$82*$AC$2*$AD$2*$AE$2*$AF$2+'Demand Base Matrix'!I$83*$W$2*$AC$2*$AD$2*$AE$2*$AF$2+'Demand Base Matrix'!I$84)))))</f>
        <v>8</v>
      </c>
      <c r="AM8">
        <f>IF($C8="Validate",(('Demand Base Matrix'!J$2+'Demand Base Matrix'!J$6)*$AC$2*$AD$2*$AE$2+('Demand Base Matrix'!J$3+'Demand Base Matrix'!J$4)*$W$2*$AD$2+'Demand Base Matrix'!J$5*$W$2*$AD$2*$AE$2+'Demand Base Matrix'!J$7+'Demand Base Matrix'!J$8*$AF$2),IF($C8="Integrate",(('Demand Base Matrix'!J$28+'Demand Base Matrix'!J$32)*$AC$2*$AD$2*$AE$2+('Demand Base Matrix'!J$29+'Demand Base Matrix'!J$30)*$W$2*$AD$2+'Demand Base Matrix'!J$31*$W$2*$AD$2*$AE$2+'Demand Base Matrix'!J$33+'Demand Base Matrix'!J$34*$AF$2),IF($C8="Bond",(('Demand Base Matrix'!J$55+'Demand Base Matrix'!J$59)*$AC$2*$AD$2*$AE$2+('Demand Base Matrix'!J$56+'Demand Base Matrix'!J$57)*$W$2*$AD$2+'Demand Base Matrix'!J$58*$W$2*$AD$2*$AE$2+'Demand Base Matrix'!J$60+'Demand Base Matrix'!J$61*$AF$2),IF($C8="Explore",('Demand Base Matrix'!J$82*$AC$2*$AD$2*$AE$2*$AF$2+'Demand Base Matrix'!J$83*$W$2*$AC$2*$AD$2*$AE$2*$AF$2+'Demand Base Matrix'!J$84)))))</f>
        <v>8</v>
      </c>
      <c r="AP8" s="5"/>
      <c r="AQ8" s="5"/>
      <c r="AR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</row>
    <row r="9" spans="1:95" x14ac:dyDescent="0.2">
      <c r="A9" t="s">
        <v>723</v>
      </c>
      <c r="B9" t="s">
        <v>698</v>
      </c>
      <c r="C9" t="s">
        <v>20</v>
      </c>
      <c r="D9" t="s">
        <v>179</v>
      </c>
      <c r="E9" t="s">
        <v>222</v>
      </c>
      <c r="F9" t="s">
        <v>799</v>
      </c>
      <c r="I9" t="str">
        <f>IFERROR(INDEX('Customer 360'!F:F,MATCH(B9,'Customer 360'!A:A,0)),"-")</f>
        <v>C</v>
      </c>
      <c r="J9">
        <v>320</v>
      </c>
      <c r="K9"/>
      <c r="L9" s="4">
        <v>46157</v>
      </c>
      <c r="M9" s="4">
        <v>46157</v>
      </c>
      <c r="N9">
        <v>2026</v>
      </c>
      <c r="O9" s="4">
        <v>46082</v>
      </c>
      <c r="P9" t="s">
        <v>217</v>
      </c>
      <c r="Q9" s="18">
        <f t="shared" si="0"/>
        <v>46082</v>
      </c>
      <c r="R9" s="18">
        <f>IFERROR(IF(M9&lt;&gt;"",M9,IF(L9&lt;&gt;"",L9,INDEX('CSM RDD'!B:B,MATCH(B9,'CSM RDD'!A:A,0)))),"-")</f>
        <v>46157</v>
      </c>
      <c r="S9" s="18">
        <f t="shared" si="4"/>
        <v>46082</v>
      </c>
      <c r="T9" s="18">
        <f t="shared" si="5"/>
        <v>46143</v>
      </c>
      <c r="U9" s="6">
        <f t="shared" si="1"/>
        <v>320</v>
      </c>
      <c r="V9" s="18">
        <f t="shared" si="2"/>
        <v>46082</v>
      </c>
      <c r="W9">
        <f>IF(U9=0,1,IF(U9&lt;='Demand Base Matrix'!$K$3,'Demand Base Matrix'!$L$3,IF(U9&lt;='Demand Base Matrix'!$K$4,'Demand Base Matrix'!$L$4,IF(U9&lt;='Demand Base Matrix'!$K$5,'Demand Base Matrix'!$L$5,IF(U9&lt;='Demand Base Matrix'!$K$6,'Demand Base Matrix'!$L$6,IF(U9&lt;='Demand Base Matrix'!$K$7,'Demand Base Matrix'!$L$7))))))</f>
        <v>0.75</v>
      </c>
      <c r="X9" s="4">
        <f t="shared" si="6"/>
        <v>46143</v>
      </c>
      <c r="Y9" t="str">
        <f t="shared" si="3"/>
        <v>Dx</v>
      </c>
      <c r="Z9" t="s">
        <v>220</v>
      </c>
      <c r="AA9" t="s">
        <v>220</v>
      </c>
      <c r="AB9" t="s">
        <v>220</v>
      </c>
      <c r="AC9">
        <f>IFERROR(INDEX('Demand Base Matrix'!AM:AM,MATCH(Y9,'Demand Base Matrix'!AL:AL,0)),"-")</f>
        <v>1</v>
      </c>
      <c r="AD9">
        <f>IFERROR(INDEX('Demand Base Matrix'!AO:AO,MATCH(Z9,'Demand Base Matrix'!AN:AN,0)),1)</f>
        <v>1</v>
      </c>
      <c r="AE9">
        <f>IFERROR(INDEX('Demand Base Matrix'!AQ:AQ,MATCH(AA9,'Demand Base Matrix'!AP:AP,0)),1)</f>
        <v>1</v>
      </c>
      <c r="AF9">
        <f>IFERROR(INDEX('Demand Base Matrix'!AS:AS,MATCH(AB9,'Demand Base Matrix'!AR:AR,0)),1)</f>
        <v>1</v>
      </c>
      <c r="AG9">
        <f>IF($C9="Validate",(('Demand Base Matrix'!D$2+'Demand Base Matrix'!D$6)*$AC$2*$AD$2*$AE$2+('Demand Base Matrix'!D$3+'Demand Base Matrix'!D$4)*$W$2*$AD$2+'Demand Base Matrix'!D$5*$W$2*$AD$2*$AE$2+'Demand Base Matrix'!D$7+'Demand Base Matrix'!D$8*$AF$2),IF($C9="Integrate",(('Demand Base Matrix'!D$28+'Demand Base Matrix'!D$32)*$AC$2*$AD$2*$AE$2+('Demand Base Matrix'!D$29+'Demand Base Matrix'!D$30)*$W$2*$AD$2+'Demand Base Matrix'!D$31*$W$2*$AD$2*$AE$2+'Demand Base Matrix'!D$33+'Demand Base Matrix'!D$34*$AF$2),IF($C9="Bond",(('Demand Base Matrix'!D$55+'Demand Base Matrix'!D$59)*$AC$2*$AD$2*$AE$2+('Demand Base Matrix'!D$56+'Demand Base Matrix'!D$57)*$W$2*$AD$2+'Demand Base Matrix'!D$58*$W$2*$AD$2*$AE$2+'Demand Base Matrix'!D$60+'Demand Base Matrix'!D$61*$AF$2),IF($C9="Explore",('Demand Base Matrix'!D$82*$AC$2*$AD$2*$AE$2*$AF$2+'Demand Base Matrix'!D$83*$W$2*$AC$2*$AD$2*$AE$2*$AF$2+'Demand Base Matrix'!D$84)))))</f>
        <v>15</v>
      </c>
      <c r="AH9">
        <f>IF($C9="Validate",(('Demand Base Matrix'!E$2+'Demand Base Matrix'!E$6)*$AC$2*$AD$2*$AE$2+('Demand Base Matrix'!E$3+'Demand Base Matrix'!E$4)*$W$2*$AD$2+'Demand Base Matrix'!E$5*$W$2*$AD$2*$AE$2+'Demand Base Matrix'!E$7+'Demand Base Matrix'!E$8*$AF$2),IF($C9="Integrate",(('Demand Base Matrix'!E$28+'Demand Base Matrix'!E$32)*$AC$2*$AD$2*$AE$2+('Demand Base Matrix'!E$29+'Demand Base Matrix'!E$30)*$W$2*$AD$2+'Demand Base Matrix'!E$31*$W$2*$AD$2*$AE$2+'Demand Base Matrix'!E$33+'Demand Base Matrix'!E$34*$AF$2),IF($C9="Bond",(('Demand Base Matrix'!E$55+'Demand Base Matrix'!E$59)*$AC$2*$AD$2*$AE$2+('Demand Base Matrix'!E$56+'Demand Base Matrix'!E$57)*$W$2*$AD$2+'Demand Base Matrix'!E$58*$W$2*$AD$2*$AE$2+'Demand Base Matrix'!E$60+'Demand Base Matrix'!E$61*$AF$2),IF($C9="Explore",('Demand Base Matrix'!E$82*$AC$2*$AD$2*$AE$2*$AF$2+'Demand Base Matrix'!E$83*$W$2*$AC$2*$AD$2*$AE$2*$AF$2+'Demand Base Matrix'!E$84)))))</f>
        <v>15</v>
      </c>
      <c r="AI9">
        <f>IF($C9="Validate",(('Demand Base Matrix'!F$2+'Demand Base Matrix'!F$6)*$AC$2*$AD$2*$AE$2+('Demand Base Matrix'!F$3+'Demand Base Matrix'!F$4)*$W$2*$AD$2+'Demand Base Matrix'!F$5*$W$2*$AD$2*$AE$2+'Demand Base Matrix'!F$7+'Demand Base Matrix'!F$8*$AF$2),IF($C9="Integrate",(('Demand Base Matrix'!F$28+'Demand Base Matrix'!F$32)*$AC$2*$AD$2*$AE$2+('Demand Base Matrix'!F$29+'Demand Base Matrix'!F$30)*$W$2*$AD$2+'Demand Base Matrix'!F$31*$W$2*$AD$2*$AE$2+'Demand Base Matrix'!F$33+'Demand Base Matrix'!F$34*$AF$2),IF($C9="Bond",(('Demand Base Matrix'!F$55+'Demand Base Matrix'!F$59)*$AC$2*$AD$2*$AE$2+('Demand Base Matrix'!F$56+'Demand Base Matrix'!F$57)*$W$2*$AD$2+'Demand Base Matrix'!F$58*$W$2*$AD$2*$AE$2+'Demand Base Matrix'!F$60+'Demand Base Matrix'!F$61*$AF$2),IF($C9="Explore",('Demand Base Matrix'!F$82*$AC$2*$AD$2*$AE$2*$AF$2+'Demand Base Matrix'!F$83*$W$2*$AC$2*$AD$2*$AE$2*$AF$2+'Demand Base Matrix'!F$84)))))</f>
        <v>7</v>
      </c>
      <c r="AJ9">
        <f>IF($C9="Validate",(('Demand Base Matrix'!G$2+'Demand Base Matrix'!G$6)*$AC$2*$AD$2*$AE$2+('Demand Base Matrix'!G$3+'Demand Base Matrix'!G$4)*$W$2*$AD$2+'Demand Base Matrix'!G$5*$W$2*$AD$2*$AE$2+'Demand Base Matrix'!G$7+'Demand Base Matrix'!G$8*$AF$2),IF($C9="Integrate",(('Demand Base Matrix'!G$28+'Demand Base Matrix'!G$32)*$AC$2*$AD$2*$AE$2+('Demand Base Matrix'!G$29+'Demand Base Matrix'!G$30)*$W$2*$AD$2+'Demand Base Matrix'!G$31*$W$2*$AD$2*$AE$2+'Demand Base Matrix'!G$33+'Demand Base Matrix'!G$34*$AF$2),IF($C9="Bond",(('Demand Base Matrix'!G$55+'Demand Base Matrix'!G$59)*$AC$2*$AD$2*$AE$2+('Demand Base Matrix'!G$56+'Demand Base Matrix'!G$57)*$W$2*$AD$2+'Demand Base Matrix'!G$58*$W$2*$AD$2*$AE$2+'Demand Base Matrix'!G$60+'Demand Base Matrix'!G$61*$AF$2),IF($C9="Explore",('Demand Base Matrix'!G$82*$AC$2*$AD$2*$AE$2*$AF$2+'Demand Base Matrix'!G$83*$W$2*$AC$2*$AD$2*$AE$2*$AF$2+'Demand Base Matrix'!G$84)))))</f>
        <v>40</v>
      </c>
      <c r="AK9">
        <f>IF($C9="Validate",(('Demand Base Matrix'!H$2+'Demand Base Matrix'!H$6)*$AC$2*$AD$2*$AE$2+('Demand Base Matrix'!H$3+'Demand Base Matrix'!H$4)*$W$2*$AD$2+'Demand Base Matrix'!H$5*$W$2*$AD$2*$AE$2+'Demand Base Matrix'!H$7+'Demand Base Matrix'!H$8*$AF$2),IF($C9="Integrate",(('Demand Base Matrix'!H$28+'Demand Base Matrix'!H$32)*$AC$2*$AD$2*$AE$2+('Demand Base Matrix'!H$29+'Demand Base Matrix'!H$30)*$W$2*$AD$2+'Demand Base Matrix'!H$31*$W$2*$AD$2*$AE$2+'Demand Base Matrix'!H$33+'Demand Base Matrix'!H$34*$AF$2),IF($C9="Bond",(('Demand Base Matrix'!H$55+'Demand Base Matrix'!H$59)*$AC$2*$AD$2*$AE$2+('Demand Base Matrix'!H$56+'Demand Base Matrix'!H$57)*$W$2*$AD$2+'Demand Base Matrix'!H$58*$W$2*$AD$2*$AE$2+'Demand Base Matrix'!H$60+'Demand Base Matrix'!H$61*$AF$2),IF($C9="Explore",('Demand Base Matrix'!H$82*$AC$2*$AD$2*$AE$2*$AF$2+'Demand Base Matrix'!H$83*$W$2*$AC$2*$AD$2*$AE$2*$AF$2+'Demand Base Matrix'!H$84)))))</f>
        <v>60</v>
      </c>
      <c r="AL9">
        <f>IF($C9="Validate",(('Demand Base Matrix'!I$2+'Demand Base Matrix'!I$6)*$AC$2*$AD$2*$AE$2+('Demand Base Matrix'!I$3+'Demand Base Matrix'!I$4)*$W$2*$AD$2+'Demand Base Matrix'!I$5*$W$2*$AD$2*$AE$2+'Demand Base Matrix'!I$7+'Demand Base Matrix'!I$8*$AF$2),IF($C9="Integrate",(('Demand Base Matrix'!I$28+'Demand Base Matrix'!I$32)*$AC$2*$AD$2*$AE$2+('Demand Base Matrix'!I$29+'Demand Base Matrix'!I$30)*$W$2*$AD$2+'Demand Base Matrix'!I$31*$W$2*$AD$2*$AE$2+'Demand Base Matrix'!I$33+'Demand Base Matrix'!I$34*$AF$2),IF($C9="Bond",(('Demand Base Matrix'!I$55+'Demand Base Matrix'!I$59)*$AC$2*$AD$2*$AE$2+('Demand Base Matrix'!I$56+'Demand Base Matrix'!I$57)*$W$2*$AD$2+'Demand Base Matrix'!I$58*$W$2*$AD$2*$AE$2+'Demand Base Matrix'!I$60+'Demand Base Matrix'!I$61*$AF$2),IF($C9="Explore",('Demand Base Matrix'!I$82*$AC$2*$AD$2*$AE$2*$AF$2+'Demand Base Matrix'!I$83*$W$2*$AC$2*$AD$2*$AE$2*$AF$2+'Demand Base Matrix'!I$84)))))</f>
        <v>10</v>
      </c>
      <c r="AM9">
        <f>IF($C9="Validate",(('Demand Base Matrix'!J$2+'Demand Base Matrix'!J$6)*$AC$2*$AD$2*$AE$2+('Demand Base Matrix'!J$3+'Demand Base Matrix'!J$4)*$W$2*$AD$2+'Demand Base Matrix'!J$5*$W$2*$AD$2*$AE$2+'Demand Base Matrix'!J$7+'Demand Base Matrix'!J$8*$AF$2),IF($C9="Integrate",(('Demand Base Matrix'!J$28+'Demand Base Matrix'!J$32)*$AC$2*$AD$2*$AE$2+('Demand Base Matrix'!J$29+'Demand Base Matrix'!J$30)*$W$2*$AD$2+'Demand Base Matrix'!J$31*$W$2*$AD$2*$AE$2+'Demand Base Matrix'!J$33+'Demand Base Matrix'!J$34*$AF$2),IF($C9="Bond",(('Demand Base Matrix'!J$55+'Demand Base Matrix'!J$59)*$AC$2*$AD$2*$AE$2+('Demand Base Matrix'!J$56+'Demand Base Matrix'!J$57)*$W$2*$AD$2+'Demand Base Matrix'!J$58*$W$2*$AD$2*$AE$2+'Demand Base Matrix'!J$60+'Demand Base Matrix'!J$61*$AF$2),IF($C9="Explore",('Demand Base Matrix'!J$82*$AC$2*$AD$2*$AE$2*$AF$2+'Demand Base Matrix'!J$83*$W$2*$AC$2*$AD$2*$AE$2*$AF$2+'Demand Base Matrix'!J$84)))))</f>
        <v>4</v>
      </c>
      <c r="AP9" s="5"/>
      <c r="AQ9" s="5"/>
      <c r="AR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</row>
    <row r="10" spans="1:95" x14ac:dyDescent="0.2">
      <c r="A10" t="s">
        <v>724</v>
      </c>
      <c r="B10" t="s">
        <v>38</v>
      </c>
      <c r="C10" t="s">
        <v>23</v>
      </c>
      <c r="D10" t="s">
        <v>36</v>
      </c>
      <c r="E10" t="s">
        <v>25</v>
      </c>
      <c r="F10" t="s">
        <v>180</v>
      </c>
      <c r="I10" t="str">
        <f>IFERROR(INDEX('Customer 360'!F:F,MATCH(B10,'Customer 360'!A:A,0)),"-")</f>
        <v>D</v>
      </c>
      <c r="J10">
        <v>0</v>
      </c>
      <c r="K10">
        <v>483</v>
      </c>
      <c r="L10" s="4">
        <v>46268</v>
      </c>
      <c r="M10" s="4">
        <v>46268</v>
      </c>
      <c r="N10">
        <v>2026</v>
      </c>
      <c r="O10" s="4">
        <v>46023</v>
      </c>
      <c r="P10" t="s">
        <v>217</v>
      </c>
      <c r="Q10" s="18">
        <f t="shared" si="0"/>
        <v>46023</v>
      </c>
      <c r="R10" s="18">
        <f>IFERROR(IF(M10&lt;&gt;"",M10,IF(L10&lt;&gt;"",L10,INDEX('CSM RDD'!B:B,MATCH(B10,'CSM RDD'!A:A,0)))),"-")</f>
        <v>46268</v>
      </c>
      <c r="S10" s="18">
        <f t="shared" si="4"/>
        <v>46023</v>
      </c>
      <c r="T10" s="18">
        <f t="shared" si="5"/>
        <v>46266</v>
      </c>
      <c r="U10" s="6">
        <f t="shared" si="1"/>
        <v>483</v>
      </c>
      <c r="V10" s="18">
        <f t="shared" si="2"/>
        <v>46082</v>
      </c>
      <c r="W10">
        <f>IF(U10=0,1,IF(U10&lt;='Demand Base Matrix'!$K$3,'Demand Base Matrix'!$L$3,IF(U10&lt;='Demand Base Matrix'!$K$4,'Demand Base Matrix'!$L$4,IF(U10&lt;='Demand Base Matrix'!$K$5,'Demand Base Matrix'!$L$5,IF(U10&lt;='Demand Base Matrix'!$K$6,'Demand Base Matrix'!$L$6,IF(U10&lt;='Demand Base Matrix'!$K$7,'Demand Base Matrix'!$L$7))))))</f>
        <v>0.75</v>
      </c>
      <c r="X10" s="4">
        <f t="shared" si="6"/>
        <v>46266</v>
      </c>
      <c r="Y10" t="str">
        <f t="shared" si="3"/>
        <v>Tx</v>
      </c>
      <c r="Z10" t="s">
        <v>685</v>
      </c>
      <c r="AA10" t="s">
        <v>685</v>
      </c>
      <c r="AB10" t="s">
        <v>685</v>
      </c>
      <c r="AC10">
        <f>IFERROR(INDEX('Demand Base Matrix'!AM:AM,MATCH(Y10,'Demand Base Matrix'!AL:AL,0)),"-")</f>
        <v>1.5</v>
      </c>
      <c r="AD10">
        <f>IFERROR(INDEX('Demand Base Matrix'!AO:AO,MATCH(Z10,'Demand Base Matrix'!AN:AN,0)),1)</f>
        <v>1</v>
      </c>
      <c r="AE10">
        <f>IFERROR(INDEX('Demand Base Matrix'!AQ:AQ,MATCH(AA10,'Demand Base Matrix'!AP:AP,0)),1)</f>
        <v>1</v>
      </c>
      <c r="AF10">
        <f>IFERROR(INDEX('Demand Base Matrix'!AS:AS,MATCH(AB10,'Demand Base Matrix'!AR:AR,0)),1)</f>
        <v>1</v>
      </c>
      <c r="AG10">
        <f>IF($C10="Validate",(('Demand Base Matrix'!D$2+'Demand Base Matrix'!D$6)*$AC$2*$AD$2*$AE$2+('Demand Base Matrix'!D$3+'Demand Base Matrix'!D$4)*$W$2*$AD$2+'Demand Base Matrix'!D$5*$W$2*$AD$2*$AE$2+'Demand Base Matrix'!D$7+'Demand Base Matrix'!D$8*$AF$2),IF($C10="Integrate",(('Demand Base Matrix'!D$28+'Demand Base Matrix'!D$32)*$AC$2*$AD$2*$AE$2+('Demand Base Matrix'!D$29+'Demand Base Matrix'!D$30)*$W$2*$AD$2+'Demand Base Matrix'!D$31*$W$2*$AD$2*$AE$2+'Demand Base Matrix'!D$33+'Demand Base Matrix'!D$34*$AF$2),IF($C10="Bond",(('Demand Base Matrix'!D$55+'Demand Base Matrix'!D$59)*$AC$2*$AD$2*$AE$2+('Demand Base Matrix'!D$56+'Demand Base Matrix'!D$57)*$W$2*$AD$2+'Demand Base Matrix'!D$58*$W$2*$AD$2*$AE$2+'Demand Base Matrix'!D$60+'Demand Base Matrix'!D$61*$AF$2),IF($C10="Explore",('Demand Base Matrix'!D$82*$AC$2*$AD$2*$AE$2*$AF$2+'Demand Base Matrix'!D$83*$W$2*$AC$2*$AD$2*$AE$2*$AF$2+'Demand Base Matrix'!D$84)))))</f>
        <v>10</v>
      </c>
      <c r="AH10">
        <f>IF($C10="Validate",(('Demand Base Matrix'!E$2+'Demand Base Matrix'!E$6)*$AC$2*$AD$2*$AE$2+('Demand Base Matrix'!E$3+'Demand Base Matrix'!E$4)*$W$2*$AD$2+'Demand Base Matrix'!E$5*$W$2*$AD$2*$AE$2+'Demand Base Matrix'!E$7+'Demand Base Matrix'!E$8*$AF$2),IF($C10="Integrate",(('Demand Base Matrix'!E$28+'Demand Base Matrix'!E$32)*$AC$2*$AD$2*$AE$2+('Demand Base Matrix'!E$29+'Demand Base Matrix'!E$30)*$W$2*$AD$2+'Demand Base Matrix'!E$31*$W$2*$AD$2*$AE$2+'Demand Base Matrix'!E$33+'Demand Base Matrix'!E$34*$AF$2),IF($C10="Bond",(('Demand Base Matrix'!E$55+'Demand Base Matrix'!E$59)*$AC$2*$AD$2*$AE$2+('Demand Base Matrix'!E$56+'Demand Base Matrix'!E$57)*$W$2*$AD$2+'Demand Base Matrix'!E$58*$W$2*$AD$2*$AE$2+'Demand Base Matrix'!E$60+'Demand Base Matrix'!E$61*$AF$2),IF($C10="Explore",('Demand Base Matrix'!E$82*$AC$2*$AD$2*$AE$2*$AF$2+'Demand Base Matrix'!E$83*$W$2*$AC$2*$AD$2*$AE$2*$AF$2+'Demand Base Matrix'!E$84)))))</f>
        <v>10</v>
      </c>
      <c r="AI10">
        <f>IF($C10="Validate",(('Demand Base Matrix'!F$2+'Demand Base Matrix'!F$6)*$AC$2*$AD$2*$AE$2+('Demand Base Matrix'!F$3+'Demand Base Matrix'!F$4)*$W$2*$AD$2+'Demand Base Matrix'!F$5*$W$2*$AD$2*$AE$2+'Demand Base Matrix'!F$7+'Demand Base Matrix'!F$8*$AF$2),IF($C10="Integrate",(('Demand Base Matrix'!F$28+'Demand Base Matrix'!F$32)*$AC$2*$AD$2*$AE$2+('Demand Base Matrix'!F$29+'Demand Base Matrix'!F$30)*$W$2*$AD$2+'Demand Base Matrix'!F$31*$W$2*$AD$2*$AE$2+'Demand Base Matrix'!F$33+'Demand Base Matrix'!F$34*$AF$2),IF($C10="Bond",(('Demand Base Matrix'!F$55+'Demand Base Matrix'!F$59)*$AC$2*$AD$2*$AE$2+('Demand Base Matrix'!F$56+'Demand Base Matrix'!F$57)*$W$2*$AD$2+'Demand Base Matrix'!F$58*$W$2*$AD$2*$AE$2+'Demand Base Matrix'!F$60+'Demand Base Matrix'!F$61*$AF$2),IF($C10="Explore",('Demand Base Matrix'!F$82*$AC$2*$AD$2*$AE$2*$AF$2+'Demand Base Matrix'!F$83*$W$2*$AC$2*$AD$2*$AE$2*$AF$2+'Demand Base Matrix'!F$84)))))</f>
        <v>10</v>
      </c>
      <c r="AJ10">
        <f>IF($C10="Validate",(('Demand Base Matrix'!G$2+'Demand Base Matrix'!G$6)*$AC$2*$AD$2*$AE$2+('Demand Base Matrix'!G$3+'Demand Base Matrix'!G$4)*$W$2*$AD$2+'Demand Base Matrix'!G$5*$W$2*$AD$2*$AE$2+'Demand Base Matrix'!G$7+'Demand Base Matrix'!G$8*$AF$2),IF($C10="Integrate",(('Demand Base Matrix'!G$28+'Demand Base Matrix'!G$32)*$AC$2*$AD$2*$AE$2+('Demand Base Matrix'!G$29+'Demand Base Matrix'!G$30)*$W$2*$AD$2+'Demand Base Matrix'!G$31*$W$2*$AD$2*$AE$2+'Demand Base Matrix'!G$33+'Demand Base Matrix'!G$34*$AF$2),IF($C10="Bond",(('Demand Base Matrix'!G$55+'Demand Base Matrix'!G$59)*$AC$2*$AD$2*$AE$2+('Demand Base Matrix'!G$56+'Demand Base Matrix'!G$57)*$W$2*$AD$2+'Demand Base Matrix'!G$58*$W$2*$AD$2*$AE$2+'Demand Base Matrix'!G$60+'Demand Base Matrix'!G$61*$AF$2),IF($C10="Explore",('Demand Base Matrix'!G$82*$AC$2*$AD$2*$AE$2*$AF$2+'Demand Base Matrix'!G$83*$W$2*$AC$2*$AD$2*$AE$2*$AF$2+'Demand Base Matrix'!G$84)))))</f>
        <v>50</v>
      </c>
      <c r="AK10">
        <f>IF($C10="Validate",(('Demand Base Matrix'!H$2+'Demand Base Matrix'!H$6)*$AC$2*$AD$2*$AE$2+('Demand Base Matrix'!H$3+'Demand Base Matrix'!H$4)*$W$2*$AD$2+'Demand Base Matrix'!H$5*$W$2*$AD$2*$AE$2+'Demand Base Matrix'!H$7+'Demand Base Matrix'!H$8*$AF$2),IF($C10="Integrate",(('Demand Base Matrix'!H$28+'Demand Base Matrix'!H$32)*$AC$2*$AD$2*$AE$2+('Demand Base Matrix'!H$29+'Demand Base Matrix'!H$30)*$W$2*$AD$2+'Demand Base Matrix'!H$31*$W$2*$AD$2*$AE$2+'Demand Base Matrix'!H$33+'Demand Base Matrix'!H$34*$AF$2),IF($C10="Bond",(('Demand Base Matrix'!H$55+'Demand Base Matrix'!H$59)*$AC$2*$AD$2*$AE$2+('Demand Base Matrix'!H$56+'Demand Base Matrix'!H$57)*$W$2*$AD$2+'Demand Base Matrix'!H$58*$W$2*$AD$2*$AE$2+'Demand Base Matrix'!H$60+'Demand Base Matrix'!H$61*$AF$2),IF($C10="Explore",('Demand Base Matrix'!H$82*$AC$2*$AD$2*$AE$2*$AF$2+'Demand Base Matrix'!H$83*$W$2*$AC$2*$AD$2*$AE$2*$AF$2+'Demand Base Matrix'!H$84)))))</f>
        <v>28</v>
      </c>
      <c r="AL10">
        <f>IF($C10="Validate",(('Demand Base Matrix'!I$2+'Demand Base Matrix'!I$6)*$AC$2*$AD$2*$AE$2+('Demand Base Matrix'!I$3+'Demand Base Matrix'!I$4)*$W$2*$AD$2+'Demand Base Matrix'!I$5*$W$2*$AD$2*$AE$2+'Demand Base Matrix'!I$7+'Demand Base Matrix'!I$8*$AF$2),IF($C10="Integrate",(('Demand Base Matrix'!I$28+'Demand Base Matrix'!I$32)*$AC$2*$AD$2*$AE$2+('Demand Base Matrix'!I$29+'Demand Base Matrix'!I$30)*$W$2*$AD$2+'Demand Base Matrix'!I$31*$W$2*$AD$2*$AE$2+'Demand Base Matrix'!I$33+'Demand Base Matrix'!I$34*$AF$2),IF($C10="Bond",(('Demand Base Matrix'!I$55+'Demand Base Matrix'!I$59)*$AC$2*$AD$2*$AE$2+('Demand Base Matrix'!I$56+'Demand Base Matrix'!I$57)*$W$2*$AD$2+'Demand Base Matrix'!I$58*$W$2*$AD$2*$AE$2+'Demand Base Matrix'!I$60+'Demand Base Matrix'!I$61*$AF$2),IF($C10="Explore",('Demand Base Matrix'!I$82*$AC$2*$AD$2*$AE$2*$AF$2+'Demand Base Matrix'!I$83*$W$2*$AC$2*$AD$2*$AE$2*$AF$2+'Demand Base Matrix'!I$84)))))</f>
        <v>8</v>
      </c>
      <c r="AM10">
        <f>IF($C10="Validate",(('Demand Base Matrix'!J$2+'Demand Base Matrix'!J$6)*$AC$2*$AD$2*$AE$2+('Demand Base Matrix'!J$3+'Demand Base Matrix'!J$4)*$W$2*$AD$2+'Demand Base Matrix'!J$5*$W$2*$AD$2*$AE$2+'Demand Base Matrix'!J$7+'Demand Base Matrix'!J$8*$AF$2),IF($C10="Integrate",(('Demand Base Matrix'!J$28+'Demand Base Matrix'!J$32)*$AC$2*$AD$2*$AE$2+('Demand Base Matrix'!J$29+'Demand Base Matrix'!J$30)*$W$2*$AD$2+'Demand Base Matrix'!J$31*$W$2*$AD$2*$AE$2+'Demand Base Matrix'!J$33+'Demand Base Matrix'!J$34*$AF$2),IF($C10="Bond",(('Demand Base Matrix'!J$55+'Demand Base Matrix'!J$59)*$AC$2*$AD$2*$AE$2+('Demand Base Matrix'!J$56+'Demand Base Matrix'!J$57)*$W$2*$AD$2+'Demand Base Matrix'!J$58*$W$2*$AD$2*$AE$2+'Demand Base Matrix'!J$60+'Demand Base Matrix'!J$61*$AF$2),IF($C10="Explore",('Demand Base Matrix'!J$82*$AC$2*$AD$2*$AE$2*$AF$2+'Demand Base Matrix'!J$83*$W$2*$AC$2*$AD$2*$AE$2*$AF$2+'Demand Base Matrix'!J$84)))))</f>
        <v>8</v>
      </c>
      <c r="AP10" s="5"/>
      <c r="AQ10" s="5"/>
      <c r="AR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</row>
    <row r="11" spans="1:95" x14ac:dyDescent="0.2">
      <c r="A11" t="s">
        <v>725</v>
      </c>
      <c r="B11" t="s">
        <v>41</v>
      </c>
      <c r="C11" t="s">
        <v>23</v>
      </c>
      <c r="D11" t="s">
        <v>178</v>
      </c>
      <c r="E11" t="s">
        <v>699</v>
      </c>
      <c r="F11" t="s">
        <v>93</v>
      </c>
      <c r="I11" t="str">
        <f>IFERROR(INDEX('Customer 360'!F:F,MATCH(B11,'Customer 360'!A:A,0)),"-")</f>
        <v>C</v>
      </c>
      <c r="J11">
        <v>2400</v>
      </c>
      <c r="K11"/>
      <c r="L11" s="4">
        <v>46265</v>
      </c>
      <c r="M11" s="4">
        <v>46265</v>
      </c>
      <c r="N11">
        <v>2026</v>
      </c>
      <c r="O11" s="4">
        <v>46023</v>
      </c>
      <c r="P11" t="s">
        <v>217</v>
      </c>
      <c r="Q11" s="18">
        <f t="shared" si="0"/>
        <v>46023</v>
      </c>
      <c r="R11" s="18">
        <f>IFERROR(IF(M11&lt;&gt;"",M11,IF(L11&lt;&gt;"",L11,INDEX('CSM RDD'!B:B,MATCH(B11,'CSM RDD'!A:A,0)))),"-")</f>
        <v>46265</v>
      </c>
      <c r="S11" s="18">
        <f t="shared" si="4"/>
        <v>46023</v>
      </c>
      <c r="T11" s="18">
        <f t="shared" si="5"/>
        <v>46235</v>
      </c>
      <c r="U11" s="6">
        <f t="shared" si="1"/>
        <v>2400</v>
      </c>
      <c r="V11" s="18">
        <f t="shared" si="2"/>
        <v>46082</v>
      </c>
      <c r="W11">
        <f>IF(U11=0,1,IF(U11&lt;='Demand Base Matrix'!$K$3,'Demand Base Matrix'!$L$3,IF(U11&lt;='Demand Base Matrix'!$K$4,'Demand Base Matrix'!$L$4,IF(U11&lt;='Demand Base Matrix'!$K$5,'Demand Base Matrix'!$L$5,IF(U11&lt;='Demand Base Matrix'!$K$6,'Demand Base Matrix'!$L$6,IF(U11&lt;='Demand Base Matrix'!$K$7,'Demand Base Matrix'!$L$7))))))</f>
        <v>1</v>
      </c>
      <c r="X11" s="4">
        <f t="shared" si="6"/>
        <v>46235</v>
      </c>
      <c r="Y11" t="str">
        <f t="shared" si="3"/>
        <v>Dx</v>
      </c>
      <c r="Z11" t="s">
        <v>685</v>
      </c>
      <c r="AA11" t="s">
        <v>685</v>
      </c>
      <c r="AB11" t="s">
        <v>685</v>
      </c>
      <c r="AC11">
        <f>IFERROR(INDEX('Demand Base Matrix'!AM:AM,MATCH(Y11,'Demand Base Matrix'!AL:AL,0)),"-")</f>
        <v>1</v>
      </c>
      <c r="AD11">
        <f>IFERROR(INDEX('Demand Base Matrix'!AO:AO,MATCH(Z11,'Demand Base Matrix'!AN:AN,0)),1)</f>
        <v>1</v>
      </c>
      <c r="AE11">
        <f>IFERROR(INDEX('Demand Base Matrix'!AQ:AQ,MATCH(AA11,'Demand Base Matrix'!AP:AP,0)),1)</f>
        <v>1</v>
      </c>
      <c r="AF11">
        <f>IFERROR(INDEX('Demand Base Matrix'!AS:AS,MATCH(AB11,'Demand Base Matrix'!AR:AR,0)),1)</f>
        <v>1</v>
      </c>
      <c r="AG11">
        <f>IF($C11="Validate",(('Demand Base Matrix'!D$2+'Demand Base Matrix'!D$6)*$AC$2*$AD$2*$AE$2+('Demand Base Matrix'!D$3+'Demand Base Matrix'!D$4)*$W$2*$AD$2+'Demand Base Matrix'!D$5*$W$2*$AD$2*$AE$2+'Demand Base Matrix'!D$7+'Demand Base Matrix'!D$8*$AF$2),IF($C11="Integrate",(('Demand Base Matrix'!D$28+'Demand Base Matrix'!D$32)*$AC$2*$AD$2*$AE$2+('Demand Base Matrix'!D$29+'Demand Base Matrix'!D$30)*$W$2*$AD$2+'Demand Base Matrix'!D$31*$W$2*$AD$2*$AE$2+'Demand Base Matrix'!D$33+'Demand Base Matrix'!D$34*$AF$2),IF($C11="Bond",(('Demand Base Matrix'!D$55+'Demand Base Matrix'!D$59)*$AC$2*$AD$2*$AE$2+('Demand Base Matrix'!D$56+'Demand Base Matrix'!D$57)*$W$2*$AD$2+'Demand Base Matrix'!D$58*$W$2*$AD$2*$AE$2+'Demand Base Matrix'!D$60+'Demand Base Matrix'!D$61*$AF$2),IF($C11="Explore",('Demand Base Matrix'!D$82*$AC$2*$AD$2*$AE$2*$AF$2+'Demand Base Matrix'!D$83*$W$2*$AC$2*$AD$2*$AE$2*$AF$2+'Demand Base Matrix'!D$84)))))</f>
        <v>10</v>
      </c>
      <c r="AH11">
        <f>IF($C11="Validate",(('Demand Base Matrix'!E$2+'Demand Base Matrix'!E$6)*$AC$2*$AD$2*$AE$2+('Demand Base Matrix'!E$3+'Demand Base Matrix'!E$4)*$W$2*$AD$2+'Demand Base Matrix'!E$5*$W$2*$AD$2*$AE$2+'Demand Base Matrix'!E$7+'Demand Base Matrix'!E$8*$AF$2),IF($C11="Integrate",(('Demand Base Matrix'!E$28+'Demand Base Matrix'!E$32)*$AC$2*$AD$2*$AE$2+('Demand Base Matrix'!E$29+'Demand Base Matrix'!E$30)*$W$2*$AD$2+'Demand Base Matrix'!E$31*$W$2*$AD$2*$AE$2+'Demand Base Matrix'!E$33+'Demand Base Matrix'!E$34*$AF$2),IF($C11="Bond",(('Demand Base Matrix'!E$55+'Demand Base Matrix'!E$59)*$AC$2*$AD$2*$AE$2+('Demand Base Matrix'!E$56+'Demand Base Matrix'!E$57)*$W$2*$AD$2+'Demand Base Matrix'!E$58*$W$2*$AD$2*$AE$2+'Demand Base Matrix'!E$60+'Demand Base Matrix'!E$61*$AF$2),IF($C11="Explore",('Demand Base Matrix'!E$82*$AC$2*$AD$2*$AE$2*$AF$2+'Demand Base Matrix'!E$83*$W$2*$AC$2*$AD$2*$AE$2*$AF$2+'Demand Base Matrix'!E$84)))))</f>
        <v>10</v>
      </c>
      <c r="AI11">
        <f>IF($C11="Validate",(('Demand Base Matrix'!F$2+'Demand Base Matrix'!F$6)*$AC$2*$AD$2*$AE$2+('Demand Base Matrix'!F$3+'Demand Base Matrix'!F$4)*$W$2*$AD$2+'Demand Base Matrix'!F$5*$W$2*$AD$2*$AE$2+'Demand Base Matrix'!F$7+'Demand Base Matrix'!F$8*$AF$2),IF($C11="Integrate",(('Demand Base Matrix'!F$28+'Demand Base Matrix'!F$32)*$AC$2*$AD$2*$AE$2+('Demand Base Matrix'!F$29+'Demand Base Matrix'!F$30)*$W$2*$AD$2+'Demand Base Matrix'!F$31*$W$2*$AD$2*$AE$2+'Demand Base Matrix'!F$33+'Demand Base Matrix'!F$34*$AF$2),IF($C11="Bond",(('Demand Base Matrix'!F$55+'Demand Base Matrix'!F$59)*$AC$2*$AD$2*$AE$2+('Demand Base Matrix'!F$56+'Demand Base Matrix'!F$57)*$W$2*$AD$2+'Demand Base Matrix'!F$58*$W$2*$AD$2*$AE$2+'Demand Base Matrix'!F$60+'Demand Base Matrix'!F$61*$AF$2),IF($C11="Explore",('Demand Base Matrix'!F$82*$AC$2*$AD$2*$AE$2*$AF$2+'Demand Base Matrix'!F$83*$W$2*$AC$2*$AD$2*$AE$2*$AF$2+'Demand Base Matrix'!F$84)))))</f>
        <v>10</v>
      </c>
      <c r="AJ11">
        <f>IF($C11="Validate",(('Demand Base Matrix'!G$2+'Demand Base Matrix'!G$6)*$AC$2*$AD$2*$AE$2+('Demand Base Matrix'!G$3+'Demand Base Matrix'!G$4)*$W$2*$AD$2+'Demand Base Matrix'!G$5*$W$2*$AD$2*$AE$2+'Demand Base Matrix'!G$7+'Demand Base Matrix'!G$8*$AF$2),IF($C11="Integrate",(('Demand Base Matrix'!G$28+'Demand Base Matrix'!G$32)*$AC$2*$AD$2*$AE$2+('Demand Base Matrix'!G$29+'Demand Base Matrix'!G$30)*$W$2*$AD$2+'Demand Base Matrix'!G$31*$W$2*$AD$2*$AE$2+'Demand Base Matrix'!G$33+'Demand Base Matrix'!G$34*$AF$2),IF($C11="Bond",(('Demand Base Matrix'!G$55+'Demand Base Matrix'!G$59)*$AC$2*$AD$2*$AE$2+('Demand Base Matrix'!G$56+'Demand Base Matrix'!G$57)*$W$2*$AD$2+'Demand Base Matrix'!G$58*$W$2*$AD$2*$AE$2+'Demand Base Matrix'!G$60+'Demand Base Matrix'!G$61*$AF$2),IF($C11="Explore",('Demand Base Matrix'!G$82*$AC$2*$AD$2*$AE$2*$AF$2+'Demand Base Matrix'!G$83*$W$2*$AC$2*$AD$2*$AE$2*$AF$2+'Demand Base Matrix'!G$84)))))</f>
        <v>50</v>
      </c>
      <c r="AK11">
        <f>IF($C11="Validate",(('Demand Base Matrix'!H$2+'Demand Base Matrix'!H$6)*$AC$2*$AD$2*$AE$2+('Demand Base Matrix'!H$3+'Demand Base Matrix'!H$4)*$W$2*$AD$2+'Demand Base Matrix'!H$5*$W$2*$AD$2*$AE$2+'Demand Base Matrix'!H$7+'Demand Base Matrix'!H$8*$AF$2),IF($C11="Integrate",(('Demand Base Matrix'!H$28+'Demand Base Matrix'!H$32)*$AC$2*$AD$2*$AE$2+('Demand Base Matrix'!H$29+'Demand Base Matrix'!H$30)*$W$2*$AD$2+'Demand Base Matrix'!H$31*$W$2*$AD$2*$AE$2+'Demand Base Matrix'!H$33+'Demand Base Matrix'!H$34*$AF$2),IF($C11="Bond",(('Demand Base Matrix'!H$55+'Demand Base Matrix'!H$59)*$AC$2*$AD$2*$AE$2+('Demand Base Matrix'!H$56+'Demand Base Matrix'!H$57)*$W$2*$AD$2+'Demand Base Matrix'!H$58*$W$2*$AD$2*$AE$2+'Demand Base Matrix'!H$60+'Demand Base Matrix'!H$61*$AF$2),IF($C11="Explore",('Demand Base Matrix'!H$82*$AC$2*$AD$2*$AE$2*$AF$2+'Demand Base Matrix'!H$83*$W$2*$AC$2*$AD$2*$AE$2*$AF$2+'Demand Base Matrix'!H$84)))))</f>
        <v>28</v>
      </c>
      <c r="AL11">
        <f>IF($C11="Validate",(('Demand Base Matrix'!I$2+'Demand Base Matrix'!I$6)*$AC$2*$AD$2*$AE$2+('Demand Base Matrix'!I$3+'Demand Base Matrix'!I$4)*$W$2*$AD$2+'Demand Base Matrix'!I$5*$W$2*$AD$2*$AE$2+'Demand Base Matrix'!I$7+'Demand Base Matrix'!I$8*$AF$2),IF($C11="Integrate",(('Demand Base Matrix'!I$28+'Demand Base Matrix'!I$32)*$AC$2*$AD$2*$AE$2+('Demand Base Matrix'!I$29+'Demand Base Matrix'!I$30)*$W$2*$AD$2+'Demand Base Matrix'!I$31*$W$2*$AD$2*$AE$2+'Demand Base Matrix'!I$33+'Demand Base Matrix'!I$34*$AF$2),IF($C11="Bond",(('Demand Base Matrix'!I$55+'Demand Base Matrix'!I$59)*$AC$2*$AD$2*$AE$2+('Demand Base Matrix'!I$56+'Demand Base Matrix'!I$57)*$W$2*$AD$2+'Demand Base Matrix'!I$58*$W$2*$AD$2*$AE$2+'Demand Base Matrix'!I$60+'Demand Base Matrix'!I$61*$AF$2),IF($C11="Explore",('Demand Base Matrix'!I$82*$AC$2*$AD$2*$AE$2*$AF$2+'Demand Base Matrix'!I$83*$W$2*$AC$2*$AD$2*$AE$2*$AF$2+'Demand Base Matrix'!I$84)))))</f>
        <v>8</v>
      </c>
      <c r="AM11">
        <f>IF($C11="Validate",(('Demand Base Matrix'!J$2+'Demand Base Matrix'!J$6)*$AC$2*$AD$2*$AE$2+('Demand Base Matrix'!J$3+'Demand Base Matrix'!J$4)*$W$2*$AD$2+'Demand Base Matrix'!J$5*$W$2*$AD$2*$AE$2+'Demand Base Matrix'!J$7+'Demand Base Matrix'!J$8*$AF$2),IF($C11="Integrate",(('Demand Base Matrix'!J$28+'Demand Base Matrix'!J$32)*$AC$2*$AD$2*$AE$2+('Demand Base Matrix'!J$29+'Demand Base Matrix'!J$30)*$W$2*$AD$2+'Demand Base Matrix'!J$31*$W$2*$AD$2*$AE$2+'Demand Base Matrix'!J$33+'Demand Base Matrix'!J$34*$AF$2),IF($C11="Bond",(('Demand Base Matrix'!J$55+'Demand Base Matrix'!J$59)*$AC$2*$AD$2*$AE$2+('Demand Base Matrix'!J$56+'Demand Base Matrix'!J$57)*$W$2*$AD$2+'Demand Base Matrix'!J$58*$W$2*$AD$2*$AE$2+'Demand Base Matrix'!J$60+'Demand Base Matrix'!J$61*$AF$2),IF($C11="Explore",('Demand Base Matrix'!J$82*$AC$2*$AD$2*$AE$2*$AF$2+'Demand Base Matrix'!J$83*$W$2*$AC$2*$AD$2*$AE$2*$AF$2+'Demand Base Matrix'!J$84)))))</f>
        <v>8</v>
      </c>
      <c r="AP11" s="5"/>
      <c r="AQ11" s="5"/>
      <c r="AR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</row>
    <row r="12" spans="1:95" x14ac:dyDescent="0.2">
      <c r="A12" t="s">
        <v>726</v>
      </c>
      <c r="B12" t="s">
        <v>181</v>
      </c>
      <c r="C12" t="s">
        <v>23</v>
      </c>
      <c r="D12" t="s">
        <v>179</v>
      </c>
      <c r="E12" t="s">
        <v>117</v>
      </c>
      <c r="F12" t="s">
        <v>187</v>
      </c>
      <c r="I12" t="str">
        <f>IFERROR(INDEX('Customer 360'!F:F,MATCH(B12,'Customer 360'!A:A,0)),"-")</f>
        <v>D</v>
      </c>
      <c r="J12">
        <v>1916</v>
      </c>
      <c r="K12"/>
      <c r="L12" s="4">
        <v>46275</v>
      </c>
      <c r="M12" s="4">
        <v>46275</v>
      </c>
      <c r="N12">
        <v>2026</v>
      </c>
      <c r="O12" s="4">
        <v>46023</v>
      </c>
      <c r="P12" t="s">
        <v>217</v>
      </c>
      <c r="Q12" s="18">
        <f t="shared" si="0"/>
        <v>46023</v>
      </c>
      <c r="R12" s="18">
        <f>IFERROR(IF(M12&lt;&gt;"",M12,IF(L12&lt;&gt;"",L12,INDEX('CSM RDD'!B:B,MATCH(B12,'CSM RDD'!A:A,0)))),"-")</f>
        <v>46275</v>
      </c>
      <c r="S12" s="18">
        <f t="shared" si="4"/>
        <v>46023</v>
      </c>
      <c r="T12" s="18">
        <f t="shared" si="5"/>
        <v>46266</v>
      </c>
      <c r="U12" s="6">
        <f t="shared" si="1"/>
        <v>1916</v>
      </c>
      <c r="V12" s="18">
        <f t="shared" si="2"/>
        <v>46082</v>
      </c>
      <c r="W12">
        <f>IF(U12=0,1,IF(U12&lt;='Demand Base Matrix'!$K$3,'Demand Base Matrix'!$L$3,IF(U12&lt;='Demand Base Matrix'!$K$4,'Demand Base Matrix'!$L$4,IF(U12&lt;='Demand Base Matrix'!$K$5,'Demand Base Matrix'!$L$5,IF(U12&lt;='Demand Base Matrix'!$K$6,'Demand Base Matrix'!$L$6,IF(U12&lt;='Demand Base Matrix'!$K$7,'Demand Base Matrix'!$L$7))))))</f>
        <v>1</v>
      </c>
      <c r="X12" s="4">
        <f t="shared" si="6"/>
        <v>46266</v>
      </c>
      <c r="Y12" t="str">
        <f t="shared" si="3"/>
        <v>Dx</v>
      </c>
      <c r="Z12" t="s">
        <v>685</v>
      </c>
      <c r="AA12" t="s">
        <v>684</v>
      </c>
      <c r="AB12" t="s">
        <v>685</v>
      </c>
      <c r="AC12">
        <f>IFERROR(INDEX('Demand Base Matrix'!AM:AM,MATCH(Y12,'Demand Base Matrix'!AL:AL,0)),"-")</f>
        <v>1</v>
      </c>
      <c r="AD12">
        <f>IFERROR(INDEX('Demand Base Matrix'!AO:AO,MATCH(Z12,'Demand Base Matrix'!AN:AN,0)),1)</f>
        <v>1</v>
      </c>
      <c r="AE12">
        <f>IFERROR(INDEX('Demand Base Matrix'!AQ:AQ,MATCH(AA12,'Demand Base Matrix'!AP:AP,0)),1)</f>
        <v>1.5</v>
      </c>
      <c r="AF12">
        <f>IFERROR(INDEX('Demand Base Matrix'!AS:AS,MATCH(AB12,'Demand Base Matrix'!AR:AR,0)),1)</f>
        <v>1</v>
      </c>
      <c r="AG12">
        <f>IF($C12="Validate",(('Demand Base Matrix'!D$2+'Demand Base Matrix'!D$6)*$AC$2*$AD$2*$AE$2+('Demand Base Matrix'!D$3+'Demand Base Matrix'!D$4)*$W$2*$AD$2+'Demand Base Matrix'!D$5*$W$2*$AD$2*$AE$2+'Demand Base Matrix'!D$7+'Demand Base Matrix'!D$8*$AF$2),IF($C12="Integrate",(('Demand Base Matrix'!D$28+'Demand Base Matrix'!D$32)*$AC$2*$AD$2*$AE$2+('Demand Base Matrix'!D$29+'Demand Base Matrix'!D$30)*$W$2*$AD$2+'Demand Base Matrix'!D$31*$W$2*$AD$2*$AE$2+'Demand Base Matrix'!D$33+'Demand Base Matrix'!D$34*$AF$2),IF($C12="Bond",(('Demand Base Matrix'!D$55+'Demand Base Matrix'!D$59)*$AC$2*$AD$2*$AE$2+('Demand Base Matrix'!D$56+'Demand Base Matrix'!D$57)*$W$2*$AD$2+'Demand Base Matrix'!D$58*$W$2*$AD$2*$AE$2+'Demand Base Matrix'!D$60+'Demand Base Matrix'!D$61*$AF$2),IF($C12="Explore",('Demand Base Matrix'!D$82*$AC$2*$AD$2*$AE$2*$AF$2+'Demand Base Matrix'!D$83*$W$2*$AC$2*$AD$2*$AE$2*$AF$2+'Demand Base Matrix'!D$84)))))</f>
        <v>10</v>
      </c>
      <c r="AH12">
        <f>IF($C12="Validate",(('Demand Base Matrix'!E$2+'Demand Base Matrix'!E$6)*$AC$2*$AD$2*$AE$2+('Demand Base Matrix'!E$3+'Demand Base Matrix'!E$4)*$W$2*$AD$2+'Demand Base Matrix'!E$5*$W$2*$AD$2*$AE$2+'Demand Base Matrix'!E$7+'Demand Base Matrix'!E$8*$AF$2),IF($C12="Integrate",(('Demand Base Matrix'!E$28+'Demand Base Matrix'!E$32)*$AC$2*$AD$2*$AE$2+('Demand Base Matrix'!E$29+'Demand Base Matrix'!E$30)*$W$2*$AD$2+'Demand Base Matrix'!E$31*$W$2*$AD$2*$AE$2+'Demand Base Matrix'!E$33+'Demand Base Matrix'!E$34*$AF$2),IF($C12="Bond",(('Demand Base Matrix'!E$55+'Demand Base Matrix'!E$59)*$AC$2*$AD$2*$AE$2+('Demand Base Matrix'!E$56+'Demand Base Matrix'!E$57)*$W$2*$AD$2+'Demand Base Matrix'!E$58*$W$2*$AD$2*$AE$2+'Demand Base Matrix'!E$60+'Demand Base Matrix'!E$61*$AF$2),IF($C12="Explore",('Demand Base Matrix'!E$82*$AC$2*$AD$2*$AE$2*$AF$2+'Demand Base Matrix'!E$83*$W$2*$AC$2*$AD$2*$AE$2*$AF$2+'Demand Base Matrix'!E$84)))))</f>
        <v>10</v>
      </c>
      <c r="AI12">
        <f>IF($C12="Validate",(('Demand Base Matrix'!F$2+'Demand Base Matrix'!F$6)*$AC$2*$AD$2*$AE$2+('Demand Base Matrix'!F$3+'Demand Base Matrix'!F$4)*$W$2*$AD$2+'Demand Base Matrix'!F$5*$W$2*$AD$2*$AE$2+'Demand Base Matrix'!F$7+'Demand Base Matrix'!F$8*$AF$2),IF($C12="Integrate",(('Demand Base Matrix'!F$28+'Demand Base Matrix'!F$32)*$AC$2*$AD$2*$AE$2+('Demand Base Matrix'!F$29+'Demand Base Matrix'!F$30)*$W$2*$AD$2+'Demand Base Matrix'!F$31*$W$2*$AD$2*$AE$2+'Demand Base Matrix'!F$33+'Demand Base Matrix'!F$34*$AF$2),IF($C12="Bond",(('Demand Base Matrix'!F$55+'Demand Base Matrix'!F$59)*$AC$2*$AD$2*$AE$2+('Demand Base Matrix'!F$56+'Demand Base Matrix'!F$57)*$W$2*$AD$2+'Demand Base Matrix'!F$58*$W$2*$AD$2*$AE$2+'Demand Base Matrix'!F$60+'Demand Base Matrix'!F$61*$AF$2),IF($C12="Explore",('Demand Base Matrix'!F$82*$AC$2*$AD$2*$AE$2*$AF$2+'Demand Base Matrix'!F$83*$W$2*$AC$2*$AD$2*$AE$2*$AF$2+'Demand Base Matrix'!F$84)))))</f>
        <v>10</v>
      </c>
      <c r="AJ12">
        <f>IF($C12="Validate",(('Demand Base Matrix'!G$2+'Demand Base Matrix'!G$6)*$AC$2*$AD$2*$AE$2+('Demand Base Matrix'!G$3+'Demand Base Matrix'!G$4)*$W$2*$AD$2+'Demand Base Matrix'!G$5*$W$2*$AD$2*$AE$2+'Demand Base Matrix'!G$7+'Demand Base Matrix'!G$8*$AF$2),IF($C12="Integrate",(('Demand Base Matrix'!G$28+'Demand Base Matrix'!G$32)*$AC$2*$AD$2*$AE$2+('Demand Base Matrix'!G$29+'Demand Base Matrix'!G$30)*$W$2*$AD$2+'Demand Base Matrix'!G$31*$W$2*$AD$2*$AE$2+'Demand Base Matrix'!G$33+'Demand Base Matrix'!G$34*$AF$2),IF($C12="Bond",(('Demand Base Matrix'!G$55+'Demand Base Matrix'!G$59)*$AC$2*$AD$2*$AE$2+('Demand Base Matrix'!G$56+'Demand Base Matrix'!G$57)*$W$2*$AD$2+'Demand Base Matrix'!G$58*$W$2*$AD$2*$AE$2+'Demand Base Matrix'!G$60+'Demand Base Matrix'!G$61*$AF$2),IF($C12="Explore",('Demand Base Matrix'!G$82*$AC$2*$AD$2*$AE$2*$AF$2+'Demand Base Matrix'!G$83*$W$2*$AC$2*$AD$2*$AE$2*$AF$2+'Demand Base Matrix'!G$84)))))</f>
        <v>50</v>
      </c>
      <c r="AK12">
        <f>IF($C12="Validate",(('Demand Base Matrix'!H$2+'Demand Base Matrix'!H$6)*$AC$2*$AD$2*$AE$2+('Demand Base Matrix'!H$3+'Demand Base Matrix'!H$4)*$W$2*$AD$2+'Demand Base Matrix'!H$5*$W$2*$AD$2*$AE$2+'Demand Base Matrix'!H$7+'Demand Base Matrix'!H$8*$AF$2),IF($C12="Integrate",(('Demand Base Matrix'!H$28+'Demand Base Matrix'!H$32)*$AC$2*$AD$2*$AE$2+('Demand Base Matrix'!H$29+'Demand Base Matrix'!H$30)*$W$2*$AD$2+'Demand Base Matrix'!H$31*$W$2*$AD$2*$AE$2+'Demand Base Matrix'!H$33+'Demand Base Matrix'!H$34*$AF$2),IF($C12="Bond",(('Demand Base Matrix'!H$55+'Demand Base Matrix'!H$59)*$AC$2*$AD$2*$AE$2+('Demand Base Matrix'!H$56+'Demand Base Matrix'!H$57)*$W$2*$AD$2+'Demand Base Matrix'!H$58*$W$2*$AD$2*$AE$2+'Demand Base Matrix'!H$60+'Demand Base Matrix'!H$61*$AF$2),IF($C12="Explore",('Demand Base Matrix'!H$82*$AC$2*$AD$2*$AE$2*$AF$2+'Demand Base Matrix'!H$83*$W$2*$AC$2*$AD$2*$AE$2*$AF$2+'Demand Base Matrix'!H$84)))))</f>
        <v>28</v>
      </c>
      <c r="AL12">
        <f>IF($C12="Validate",(('Demand Base Matrix'!I$2+'Demand Base Matrix'!I$6)*$AC$2*$AD$2*$AE$2+('Demand Base Matrix'!I$3+'Demand Base Matrix'!I$4)*$W$2*$AD$2+'Demand Base Matrix'!I$5*$W$2*$AD$2*$AE$2+'Demand Base Matrix'!I$7+'Demand Base Matrix'!I$8*$AF$2),IF($C12="Integrate",(('Demand Base Matrix'!I$28+'Demand Base Matrix'!I$32)*$AC$2*$AD$2*$AE$2+('Demand Base Matrix'!I$29+'Demand Base Matrix'!I$30)*$W$2*$AD$2+'Demand Base Matrix'!I$31*$W$2*$AD$2*$AE$2+'Demand Base Matrix'!I$33+'Demand Base Matrix'!I$34*$AF$2),IF($C12="Bond",(('Demand Base Matrix'!I$55+'Demand Base Matrix'!I$59)*$AC$2*$AD$2*$AE$2+('Demand Base Matrix'!I$56+'Demand Base Matrix'!I$57)*$W$2*$AD$2+'Demand Base Matrix'!I$58*$W$2*$AD$2*$AE$2+'Demand Base Matrix'!I$60+'Demand Base Matrix'!I$61*$AF$2),IF($C12="Explore",('Demand Base Matrix'!I$82*$AC$2*$AD$2*$AE$2*$AF$2+'Demand Base Matrix'!I$83*$W$2*$AC$2*$AD$2*$AE$2*$AF$2+'Demand Base Matrix'!I$84)))))</f>
        <v>8</v>
      </c>
      <c r="AM12">
        <f>IF($C12="Validate",(('Demand Base Matrix'!J$2+'Demand Base Matrix'!J$6)*$AC$2*$AD$2*$AE$2+('Demand Base Matrix'!J$3+'Demand Base Matrix'!J$4)*$W$2*$AD$2+'Demand Base Matrix'!J$5*$W$2*$AD$2*$AE$2+'Demand Base Matrix'!J$7+'Demand Base Matrix'!J$8*$AF$2),IF($C12="Integrate",(('Demand Base Matrix'!J$28+'Demand Base Matrix'!J$32)*$AC$2*$AD$2*$AE$2+('Demand Base Matrix'!J$29+'Demand Base Matrix'!J$30)*$W$2*$AD$2+'Demand Base Matrix'!J$31*$W$2*$AD$2*$AE$2+'Demand Base Matrix'!J$33+'Demand Base Matrix'!J$34*$AF$2),IF($C12="Bond",(('Demand Base Matrix'!J$55+'Demand Base Matrix'!J$59)*$AC$2*$AD$2*$AE$2+('Demand Base Matrix'!J$56+'Demand Base Matrix'!J$57)*$W$2*$AD$2+'Demand Base Matrix'!J$58*$W$2*$AD$2*$AE$2+'Demand Base Matrix'!J$60+'Demand Base Matrix'!J$61*$AF$2),IF($C12="Explore",('Demand Base Matrix'!J$82*$AC$2*$AD$2*$AE$2*$AF$2+'Demand Base Matrix'!J$83*$W$2*$AC$2*$AD$2*$AE$2*$AF$2+'Demand Base Matrix'!J$84)))))</f>
        <v>8</v>
      </c>
      <c r="AP12" s="5"/>
      <c r="AQ12" s="5"/>
      <c r="AR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</row>
    <row r="13" spans="1:95" x14ac:dyDescent="0.2">
      <c r="A13" t="s">
        <v>727</v>
      </c>
      <c r="B13" t="s">
        <v>182</v>
      </c>
      <c r="C13" t="s">
        <v>23</v>
      </c>
      <c r="D13" t="s">
        <v>53</v>
      </c>
      <c r="E13" t="s">
        <v>699</v>
      </c>
      <c r="F13" t="s">
        <v>198</v>
      </c>
      <c r="I13" t="str">
        <f>IFERROR(INDEX('Customer 360'!F:F,MATCH(B13,'Customer 360'!A:A,0)),"-")</f>
        <v>C</v>
      </c>
      <c r="J13">
        <v>3003</v>
      </c>
      <c r="K13"/>
      <c r="L13" s="4">
        <v>46233</v>
      </c>
      <c r="M13" s="4">
        <v>46233</v>
      </c>
      <c r="N13">
        <v>2026</v>
      </c>
      <c r="O13" s="4">
        <v>46023</v>
      </c>
      <c r="P13" t="s">
        <v>217</v>
      </c>
      <c r="Q13" s="18">
        <f t="shared" si="0"/>
        <v>46023</v>
      </c>
      <c r="R13" s="18">
        <f>IFERROR(IF(M13&lt;&gt;"",M13,IF(L13&lt;&gt;"",L13,INDEX('CSM RDD'!B:B,MATCH(B13,'CSM RDD'!A:A,0)))),"-")</f>
        <v>46233</v>
      </c>
      <c r="S13" s="18">
        <f t="shared" si="4"/>
        <v>46023</v>
      </c>
      <c r="T13" s="18">
        <f t="shared" si="5"/>
        <v>46204</v>
      </c>
      <c r="U13" s="6">
        <f t="shared" si="1"/>
        <v>3003</v>
      </c>
      <c r="V13" s="18">
        <f t="shared" si="2"/>
        <v>46082</v>
      </c>
      <c r="W13">
        <f>IF(U13=0,1,IF(U13&lt;='Demand Base Matrix'!$K$3,'Demand Base Matrix'!$L$3,IF(U13&lt;='Demand Base Matrix'!$K$4,'Demand Base Matrix'!$L$4,IF(U13&lt;='Demand Base Matrix'!$K$5,'Demand Base Matrix'!$L$5,IF(U13&lt;='Demand Base Matrix'!$K$6,'Demand Base Matrix'!$L$6,IF(U13&lt;='Demand Base Matrix'!$K$7,'Demand Base Matrix'!$L$7))))))</f>
        <v>1</v>
      </c>
      <c r="X13" s="4">
        <f t="shared" si="6"/>
        <v>46204</v>
      </c>
      <c r="Y13" t="str">
        <f t="shared" si="3"/>
        <v>Dx</v>
      </c>
      <c r="Z13" t="s">
        <v>685</v>
      </c>
      <c r="AA13" t="s">
        <v>685</v>
      </c>
      <c r="AB13" t="s">
        <v>685</v>
      </c>
      <c r="AC13">
        <f>IFERROR(INDEX('Demand Base Matrix'!AM:AM,MATCH(Y13,'Demand Base Matrix'!AL:AL,0)),"-")</f>
        <v>1</v>
      </c>
      <c r="AD13">
        <f>IFERROR(INDEX('Demand Base Matrix'!AO:AO,MATCH(Z13,'Demand Base Matrix'!AN:AN,0)),1)</f>
        <v>1</v>
      </c>
      <c r="AE13">
        <f>IFERROR(INDEX('Demand Base Matrix'!AQ:AQ,MATCH(AA13,'Demand Base Matrix'!AP:AP,0)),1)</f>
        <v>1</v>
      </c>
      <c r="AF13">
        <f>IFERROR(INDEX('Demand Base Matrix'!AS:AS,MATCH(AB13,'Demand Base Matrix'!AR:AR,0)),1)</f>
        <v>1</v>
      </c>
      <c r="AG13">
        <f>IF($C13="Validate",(('Demand Base Matrix'!D$2+'Demand Base Matrix'!D$6)*$AC$2*$AD$2*$AE$2+('Demand Base Matrix'!D$3+'Demand Base Matrix'!D$4)*$W$2*$AD$2+'Demand Base Matrix'!D$5*$W$2*$AD$2*$AE$2+'Demand Base Matrix'!D$7+'Demand Base Matrix'!D$8*$AF$2),IF($C13="Integrate",(('Demand Base Matrix'!D$28+'Demand Base Matrix'!D$32)*$AC$2*$AD$2*$AE$2+('Demand Base Matrix'!D$29+'Demand Base Matrix'!D$30)*$W$2*$AD$2+'Demand Base Matrix'!D$31*$W$2*$AD$2*$AE$2+'Demand Base Matrix'!D$33+'Demand Base Matrix'!D$34*$AF$2),IF($C13="Bond",(('Demand Base Matrix'!D$55+'Demand Base Matrix'!D$59)*$AC$2*$AD$2*$AE$2+('Demand Base Matrix'!D$56+'Demand Base Matrix'!D$57)*$W$2*$AD$2+'Demand Base Matrix'!D$58*$W$2*$AD$2*$AE$2+'Demand Base Matrix'!D$60+'Demand Base Matrix'!D$61*$AF$2),IF($C13="Explore",('Demand Base Matrix'!D$82*$AC$2*$AD$2*$AE$2*$AF$2+'Demand Base Matrix'!D$83*$W$2*$AC$2*$AD$2*$AE$2*$AF$2+'Demand Base Matrix'!D$84)))))</f>
        <v>10</v>
      </c>
      <c r="AH13">
        <f>IF($C13="Validate",(('Demand Base Matrix'!E$2+'Demand Base Matrix'!E$6)*$AC$2*$AD$2*$AE$2+('Demand Base Matrix'!E$3+'Demand Base Matrix'!E$4)*$W$2*$AD$2+'Demand Base Matrix'!E$5*$W$2*$AD$2*$AE$2+'Demand Base Matrix'!E$7+'Demand Base Matrix'!E$8*$AF$2),IF($C13="Integrate",(('Demand Base Matrix'!E$28+'Demand Base Matrix'!E$32)*$AC$2*$AD$2*$AE$2+('Demand Base Matrix'!E$29+'Demand Base Matrix'!E$30)*$W$2*$AD$2+'Demand Base Matrix'!E$31*$W$2*$AD$2*$AE$2+'Demand Base Matrix'!E$33+'Demand Base Matrix'!E$34*$AF$2),IF($C13="Bond",(('Demand Base Matrix'!E$55+'Demand Base Matrix'!E$59)*$AC$2*$AD$2*$AE$2+('Demand Base Matrix'!E$56+'Demand Base Matrix'!E$57)*$W$2*$AD$2+'Demand Base Matrix'!E$58*$W$2*$AD$2*$AE$2+'Demand Base Matrix'!E$60+'Demand Base Matrix'!E$61*$AF$2),IF($C13="Explore",('Demand Base Matrix'!E$82*$AC$2*$AD$2*$AE$2*$AF$2+'Demand Base Matrix'!E$83*$W$2*$AC$2*$AD$2*$AE$2*$AF$2+'Demand Base Matrix'!E$84)))))</f>
        <v>10</v>
      </c>
      <c r="AI13">
        <f>IF($C13="Validate",(('Demand Base Matrix'!F$2+'Demand Base Matrix'!F$6)*$AC$2*$AD$2*$AE$2+('Demand Base Matrix'!F$3+'Demand Base Matrix'!F$4)*$W$2*$AD$2+'Demand Base Matrix'!F$5*$W$2*$AD$2*$AE$2+'Demand Base Matrix'!F$7+'Demand Base Matrix'!F$8*$AF$2),IF($C13="Integrate",(('Demand Base Matrix'!F$28+'Demand Base Matrix'!F$32)*$AC$2*$AD$2*$AE$2+('Demand Base Matrix'!F$29+'Demand Base Matrix'!F$30)*$W$2*$AD$2+'Demand Base Matrix'!F$31*$W$2*$AD$2*$AE$2+'Demand Base Matrix'!F$33+'Demand Base Matrix'!F$34*$AF$2),IF($C13="Bond",(('Demand Base Matrix'!F$55+'Demand Base Matrix'!F$59)*$AC$2*$AD$2*$AE$2+('Demand Base Matrix'!F$56+'Demand Base Matrix'!F$57)*$W$2*$AD$2+'Demand Base Matrix'!F$58*$W$2*$AD$2*$AE$2+'Demand Base Matrix'!F$60+'Demand Base Matrix'!F$61*$AF$2),IF($C13="Explore",('Demand Base Matrix'!F$82*$AC$2*$AD$2*$AE$2*$AF$2+'Demand Base Matrix'!F$83*$W$2*$AC$2*$AD$2*$AE$2*$AF$2+'Demand Base Matrix'!F$84)))))</f>
        <v>10</v>
      </c>
      <c r="AJ13">
        <f>IF($C13="Validate",(('Demand Base Matrix'!G$2+'Demand Base Matrix'!G$6)*$AC$2*$AD$2*$AE$2+('Demand Base Matrix'!G$3+'Demand Base Matrix'!G$4)*$W$2*$AD$2+'Demand Base Matrix'!G$5*$W$2*$AD$2*$AE$2+'Demand Base Matrix'!G$7+'Demand Base Matrix'!G$8*$AF$2),IF($C13="Integrate",(('Demand Base Matrix'!G$28+'Demand Base Matrix'!G$32)*$AC$2*$AD$2*$AE$2+('Demand Base Matrix'!G$29+'Demand Base Matrix'!G$30)*$W$2*$AD$2+'Demand Base Matrix'!G$31*$W$2*$AD$2*$AE$2+'Demand Base Matrix'!G$33+'Demand Base Matrix'!G$34*$AF$2),IF($C13="Bond",(('Demand Base Matrix'!G$55+'Demand Base Matrix'!G$59)*$AC$2*$AD$2*$AE$2+('Demand Base Matrix'!G$56+'Demand Base Matrix'!G$57)*$W$2*$AD$2+'Demand Base Matrix'!G$58*$W$2*$AD$2*$AE$2+'Demand Base Matrix'!G$60+'Demand Base Matrix'!G$61*$AF$2),IF($C13="Explore",('Demand Base Matrix'!G$82*$AC$2*$AD$2*$AE$2*$AF$2+'Demand Base Matrix'!G$83*$W$2*$AC$2*$AD$2*$AE$2*$AF$2+'Demand Base Matrix'!G$84)))))</f>
        <v>50</v>
      </c>
      <c r="AK13">
        <f>IF($C13="Validate",(('Demand Base Matrix'!H$2+'Demand Base Matrix'!H$6)*$AC$2*$AD$2*$AE$2+('Demand Base Matrix'!H$3+'Demand Base Matrix'!H$4)*$W$2*$AD$2+'Demand Base Matrix'!H$5*$W$2*$AD$2*$AE$2+'Demand Base Matrix'!H$7+'Demand Base Matrix'!H$8*$AF$2),IF($C13="Integrate",(('Demand Base Matrix'!H$28+'Demand Base Matrix'!H$32)*$AC$2*$AD$2*$AE$2+('Demand Base Matrix'!H$29+'Demand Base Matrix'!H$30)*$W$2*$AD$2+'Demand Base Matrix'!H$31*$W$2*$AD$2*$AE$2+'Demand Base Matrix'!H$33+'Demand Base Matrix'!H$34*$AF$2),IF($C13="Bond",(('Demand Base Matrix'!H$55+'Demand Base Matrix'!H$59)*$AC$2*$AD$2*$AE$2+('Demand Base Matrix'!H$56+'Demand Base Matrix'!H$57)*$W$2*$AD$2+'Demand Base Matrix'!H$58*$W$2*$AD$2*$AE$2+'Demand Base Matrix'!H$60+'Demand Base Matrix'!H$61*$AF$2),IF($C13="Explore",('Demand Base Matrix'!H$82*$AC$2*$AD$2*$AE$2*$AF$2+'Demand Base Matrix'!H$83*$W$2*$AC$2*$AD$2*$AE$2*$AF$2+'Demand Base Matrix'!H$84)))))</f>
        <v>28</v>
      </c>
      <c r="AL13">
        <f>IF($C13="Validate",(('Demand Base Matrix'!I$2+'Demand Base Matrix'!I$6)*$AC$2*$AD$2*$AE$2+('Demand Base Matrix'!I$3+'Demand Base Matrix'!I$4)*$W$2*$AD$2+'Demand Base Matrix'!I$5*$W$2*$AD$2*$AE$2+'Demand Base Matrix'!I$7+'Demand Base Matrix'!I$8*$AF$2),IF($C13="Integrate",(('Demand Base Matrix'!I$28+'Demand Base Matrix'!I$32)*$AC$2*$AD$2*$AE$2+('Demand Base Matrix'!I$29+'Demand Base Matrix'!I$30)*$W$2*$AD$2+'Demand Base Matrix'!I$31*$W$2*$AD$2*$AE$2+'Demand Base Matrix'!I$33+'Demand Base Matrix'!I$34*$AF$2),IF($C13="Bond",(('Demand Base Matrix'!I$55+'Demand Base Matrix'!I$59)*$AC$2*$AD$2*$AE$2+('Demand Base Matrix'!I$56+'Demand Base Matrix'!I$57)*$W$2*$AD$2+'Demand Base Matrix'!I$58*$W$2*$AD$2*$AE$2+'Demand Base Matrix'!I$60+'Demand Base Matrix'!I$61*$AF$2),IF($C13="Explore",('Demand Base Matrix'!I$82*$AC$2*$AD$2*$AE$2*$AF$2+'Demand Base Matrix'!I$83*$W$2*$AC$2*$AD$2*$AE$2*$AF$2+'Demand Base Matrix'!I$84)))))</f>
        <v>8</v>
      </c>
      <c r="AM13">
        <f>IF($C13="Validate",(('Demand Base Matrix'!J$2+'Demand Base Matrix'!J$6)*$AC$2*$AD$2*$AE$2+('Demand Base Matrix'!J$3+'Demand Base Matrix'!J$4)*$W$2*$AD$2+'Demand Base Matrix'!J$5*$W$2*$AD$2*$AE$2+'Demand Base Matrix'!J$7+'Demand Base Matrix'!J$8*$AF$2),IF($C13="Integrate",(('Demand Base Matrix'!J$28+'Demand Base Matrix'!J$32)*$AC$2*$AD$2*$AE$2+('Demand Base Matrix'!J$29+'Demand Base Matrix'!J$30)*$W$2*$AD$2+'Demand Base Matrix'!J$31*$W$2*$AD$2*$AE$2+'Demand Base Matrix'!J$33+'Demand Base Matrix'!J$34*$AF$2),IF($C13="Bond",(('Demand Base Matrix'!J$55+'Demand Base Matrix'!J$59)*$AC$2*$AD$2*$AE$2+('Demand Base Matrix'!J$56+'Demand Base Matrix'!J$57)*$W$2*$AD$2+'Demand Base Matrix'!J$58*$W$2*$AD$2*$AE$2+'Demand Base Matrix'!J$60+'Demand Base Matrix'!J$61*$AF$2),IF($C13="Explore",('Demand Base Matrix'!J$82*$AC$2*$AD$2*$AE$2*$AF$2+'Demand Base Matrix'!J$83*$W$2*$AC$2*$AD$2*$AE$2*$AF$2+'Demand Base Matrix'!J$84)))))</f>
        <v>8</v>
      </c>
      <c r="AP13" s="5"/>
      <c r="AQ13" s="5"/>
      <c r="AR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</row>
    <row r="14" spans="1:95" s="30" customFormat="1" x14ac:dyDescent="0.2">
      <c r="A14" t="s">
        <v>728</v>
      </c>
      <c r="B14" t="s">
        <v>183</v>
      </c>
      <c r="C14" t="s">
        <v>20</v>
      </c>
      <c r="D14" t="s">
        <v>69</v>
      </c>
      <c r="E14" t="s">
        <v>119</v>
      </c>
      <c r="F14" t="s">
        <v>187</v>
      </c>
      <c r="H14"/>
      <c r="I14" t="str">
        <f>IFERROR(INDEX('Customer 360'!F:F,MATCH(B14,'Customer 360'!A:A,0)),"-")</f>
        <v>C</v>
      </c>
      <c r="J14">
        <v>369</v>
      </c>
      <c r="K14">
        <v>47</v>
      </c>
      <c r="L14" s="4">
        <v>46280</v>
      </c>
      <c r="M14" s="4">
        <v>46280</v>
      </c>
      <c r="N14">
        <v>2026</v>
      </c>
      <c r="O14" s="4">
        <v>45901</v>
      </c>
      <c r="P14" t="s">
        <v>217</v>
      </c>
      <c r="Q14" s="18">
        <f t="shared" si="0"/>
        <v>45901</v>
      </c>
      <c r="R14" s="18">
        <f>IFERROR(IF(M14&lt;&gt;"",M14,IF(L14&lt;&gt;"",L14,INDEX('CSM RDD'!B:B,MATCH(B14,'CSM RDD'!A:A,0)))),"-")</f>
        <v>46280</v>
      </c>
      <c r="S14" s="18">
        <f t="shared" si="4"/>
        <v>45901</v>
      </c>
      <c r="T14" s="18">
        <f t="shared" si="5"/>
        <v>46266</v>
      </c>
      <c r="U14" s="6">
        <f t="shared" si="1"/>
        <v>416</v>
      </c>
      <c r="V14" s="18">
        <f t="shared" si="2"/>
        <v>45901</v>
      </c>
      <c r="W14">
        <f>IF(U14=0,1,IF(U14&lt;='Demand Base Matrix'!$K$3,'Demand Base Matrix'!$L$3,IF(U14&lt;='Demand Base Matrix'!$K$4,'Demand Base Matrix'!$L$4,IF(U14&lt;='Demand Base Matrix'!$K$5,'Demand Base Matrix'!$L$5,IF(U14&lt;='Demand Base Matrix'!$K$6,'Demand Base Matrix'!$L$6,IF(U14&lt;='Demand Base Matrix'!$K$7,'Demand Base Matrix'!$L$7))))))</f>
        <v>0.75</v>
      </c>
      <c r="X14" s="4">
        <f t="shared" si="6"/>
        <v>46266</v>
      </c>
      <c r="Y14" t="str">
        <f t="shared" si="3"/>
        <v>Tx</v>
      </c>
      <c r="Z14" t="s">
        <v>685</v>
      </c>
      <c r="AA14" t="s">
        <v>684</v>
      </c>
      <c r="AB14" t="s">
        <v>685</v>
      </c>
      <c r="AC14">
        <f>IFERROR(INDEX('Demand Base Matrix'!AM:AM,MATCH(Y14,'Demand Base Matrix'!AL:AL,0)),"-")</f>
        <v>1.5</v>
      </c>
      <c r="AD14">
        <f>IFERROR(INDEX('Demand Base Matrix'!AO:AO,MATCH(Z14,'Demand Base Matrix'!AN:AN,0)),1)</f>
        <v>1</v>
      </c>
      <c r="AE14">
        <f>IFERROR(INDEX('Demand Base Matrix'!AQ:AQ,MATCH(AA14,'Demand Base Matrix'!AP:AP,0)),1)</f>
        <v>1.5</v>
      </c>
      <c r="AF14">
        <f>IFERROR(INDEX('Demand Base Matrix'!AS:AS,MATCH(AB14,'Demand Base Matrix'!AR:AR,0)),1)</f>
        <v>1</v>
      </c>
      <c r="AG14">
        <f>IF($C14="Validate",(('Demand Base Matrix'!D$2+'Demand Base Matrix'!D$6)*$AC$2*$AD$2*$AE$2+('Demand Base Matrix'!D$3+'Demand Base Matrix'!D$4)*$W$2*$AD$2+'Demand Base Matrix'!D$5*$W$2*$AD$2*$AE$2+'Demand Base Matrix'!D$7+'Demand Base Matrix'!D$8*$AF$2),IF($C14="Integrate",(('Demand Base Matrix'!D$28+'Demand Base Matrix'!D$32)*$AC$2*$AD$2*$AE$2+('Demand Base Matrix'!D$29+'Demand Base Matrix'!D$30)*$W$2*$AD$2+'Demand Base Matrix'!D$31*$W$2*$AD$2*$AE$2+'Demand Base Matrix'!D$33+'Demand Base Matrix'!D$34*$AF$2),IF($C14="Bond",(('Demand Base Matrix'!D$55+'Demand Base Matrix'!D$59)*$AC$2*$AD$2*$AE$2+('Demand Base Matrix'!D$56+'Demand Base Matrix'!D$57)*$W$2*$AD$2+'Demand Base Matrix'!D$58*$W$2*$AD$2*$AE$2+'Demand Base Matrix'!D$60+'Demand Base Matrix'!D$61*$AF$2),IF($C14="Explore",('Demand Base Matrix'!D$82*$AC$2*$AD$2*$AE$2*$AF$2+'Demand Base Matrix'!D$83*$W$2*$AC$2*$AD$2*$AE$2*$AF$2+'Demand Base Matrix'!D$84)))))</f>
        <v>15</v>
      </c>
      <c r="AH14">
        <f>IF($C14="Validate",(('Demand Base Matrix'!E$2+'Demand Base Matrix'!E$6)*$AC$2*$AD$2*$AE$2+('Demand Base Matrix'!E$3+'Demand Base Matrix'!E$4)*$W$2*$AD$2+'Demand Base Matrix'!E$5*$W$2*$AD$2*$AE$2+'Demand Base Matrix'!E$7+'Demand Base Matrix'!E$8*$AF$2),IF($C14="Integrate",(('Demand Base Matrix'!E$28+'Demand Base Matrix'!E$32)*$AC$2*$AD$2*$AE$2+('Demand Base Matrix'!E$29+'Demand Base Matrix'!E$30)*$W$2*$AD$2+'Demand Base Matrix'!E$31*$W$2*$AD$2*$AE$2+'Demand Base Matrix'!E$33+'Demand Base Matrix'!E$34*$AF$2),IF($C14="Bond",(('Demand Base Matrix'!E$55+'Demand Base Matrix'!E$59)*$AC$2*$AD$2*$AE$2+('Demand Base Matrix'!E$56+'Demand Base Matrix'!E$57)*$W$2*$AD$2+'Demand Base Matrix'!E$58*$W$2*$AD$2*$AE$2+'Demand Base Matrix'!E$60+'Demand Base Matrix'!E$61*$AF$2),IF($C14="Explore",('Demand Base Matrix'!E$82*$AC$2*$AD$2*$AE$2*$AF$2+'Demand Base Matrix'!E$83*$W$2*$AC$2*$AD$2*$AE$2*$AF$2+'Demand Base Matrix'!E$84)))))</f>
        <v>15</v>
      </c>
      <c r="AI14">
        <f>IF($C14="Validate",(('Demand Base Matrix'!F$2+'Demand Base Matrix'!F$6)*$AC$2*$AD$2*$AE$2+('Demand Base Matrix'!F$3+'Demand Base Matrix'!F$4)*$W$2*$AD$2+'Demand Base Matrix'!F$5*$W$2*$AD$2*$AE$2+'Demand Base Matrix'!F$7+'Demand Base Matrix'!F$8*$AF$2),IF($C14="Integrate",(('Demand Base Matrix'!F$28+'Demand Base Matrix'!F$32)*$AC$2*$AD$2*$AE$2+('Demand Base Matrix'!F$29+'Demand Base Matrix'!F$30)*$W$2*$AD$2+'Demand Base Matrix'!F$31*$W$2*$AD$2*$AE$2+'Demand Base Matrix'!F$33+'Demand Base Matrix'!F$34*$AF$2),IF($C14="Bond",(('Demand Base Matrix'!F$55+'Demand Base Matrix'!F$59)*$AC$2*$AD$2*$AE$2+('Demand Base Matrix'!F$56+'Demand Base Matrix'!F$57)*$W$2*$AD$2+'Demand Base Matrix'!F$58*$W$2*$AD$2*$AE$2+'Demand Base Matrix'!F$60+'Demand Base Matrix'!F$61*$AF$2),IF($C14="Explore",('Demand Base Matrix'!F$82*$AC$2*$AD$2*$AE$2*$AF$2+'Demand Base Matrix'!F$83*$W$2*$AC$2*$AD$2*$AE$2*$AF$2+'Demand Base Matrix'!F$84)))))</f>
        <v>7</v>
      </c>
      <c r="AJ14">
        <f>IF($C14="Validate",(('Demand Base Matrix'!G$2+'Demand Base Matrix'!G$6)*$AC$2*$AD$2*$AE$2+('Demand Base Matrix'!G$3+'Demand Base Matrix'!G$4)*$W$2*$AD$2+'Demand Base Matrix'!G$5*$W$2*$AD$2*$AE$2+'Demand Base Matrix'!G$7+'Demand Base Matrix'!G$8*$AF$2),IF($C14="Integrate",(('Demand Base Matrix'!G$28+'Demand Base Matrix'!G$32)*$AC$2*$AD$2*$AE$2+('Demand Base Matrix'!G$29+'Demand Base Matrix'!G$30)*$W$2*$AD$2+'Demand Base Matrix'!G$31*$W$2*$AD$2*$AE$2+'Demand Base Matrix'!G$33+'Demand Base Matrix'!G$34*$AF$2),IF($C14="Bond",(('Demand Base Matrix'!G$55+'Demand Base Matrix'!G$59)*$AC$2*$AD$2*$AE$2+('Demand Base Matrix'!G$56+'Demand Base Matrix'!G$57)*$W$2*$AD$2+'Demand Base Matrix'!G$58*$W$2*$AD$2*$AE$2+'Demand Base Matrix'!G$60+'Demand Base Matrix'!G$61*$AF$2),IF($C14="Explore",('Demand Base Matrix'!G$82*$AC$2*$AD$2*$AE$2*$AF$2+'Demand Base Matrix'!G$83*$W$2*$AC$2*$AD$2*$AE$2*$AF$2+'Demand Base Matrix'!G$84)))))</f>
        <v>40</v>
      </c>
      <c r="AK14">
        <f>IF($C14="Validate",(('Demand Base Matrix'!H$2+'Demand Base Matrix'!H$6)*$AC$2*$AD$2*$AE$2+('Demand Base Matrix'!H$3+'Demand Base Matrix'!H$4)*$W$2*$AD$2+'Demand Base Matrix'!H$5*$W$2*$AD$2*$AE$2+'Demand Base Matrix'!H$7+'Demand Base Matrix'!H$8*$AF$2),IF($C14="Integrate",(('Demand Base Matrix'!H$28+'Demand Base Matrix'!H$32)*$AC$2*$AD$2*$AE$2+('Demand Base Matrix'!H$29+'Demand Base Matrix'!H$30)*$W$2*$AD$2+'Demand Base Matrix'!H$31*$W$2*$AD$2*$AE$2+'Demand Base Matrix'!H$33+'Demand Base Matrix'!H$34*$AF$2),IF($C14="Bond",(('Demand Base Matrix'!H$55+'Demand Base Matrix'!H$59)*$AC$2*$AD$2*$AE$2+('Demand Base Matrix'!H$56+'Demand Base Matrix'!H$57)*$W$2*$AD$2+'Demand Base Matrix'!H$58*$W$2*$AD$2*$AE$2+'Demand Base Matrix'!H$60+'Demand Base Matrix'!H$61*$AF$2),IF($C14="Explore",('Demand Base Matrix'!H$82*$AC$2*$AD$2*$AE$2*$AF$2+'Demand Base Matrix'!H$83*$W$2*$AC$2*$AD$2*$AE$2*$AF$2+'Demand Base Matrix'!H$84)))))</f>
        <v>60</v>
      </c>
      <c r="AL14">
        <f>IF($C14="Validate",(('Demand Base Matrix'!I$2+'Demand Base Matrix'!I$6)*$AC$2*$AD$2*$AE$2+('Demand Base Matrix'!I$3+'Demand Base Matrix'!I$4)*$W$2*$AD$2+'Demand Base Matrix'!I$5*$W$2*$AD$2*$AE$2+'Demand Base Matrix'!I$7+'Demand Base Matrix'!I$8*$AF$2),IF($C14="Integrate",(('Demand Base Matrix'!I$28+'Demand Base Matrix'!I$32)*$AC$2*$AD$2*$AE$2+('Demand Base Matrix'!I$29+'Demand Base Matrix'!I$30)*$W$2*$AD$2+'Demand Base Matrix'!I$31*$W$2*$AD$2*$AE$2+'Demand Base Matrix'!I$33+'Demand Base Matrix'!I$34*$AF$2),IF($C14="Bond",(('Demand Base Matrix'!I$55+'Demand Base Matrix'!I$59)*$AC$2*$AD$2*$AE$2+('Demand Base Matrix'!I$56+'Demand Base Matrix'!I$57)*$W$2*$AD$2+'Demand Base Matrix'!I$58*$W$2*$AD$2*$AE$2+'Demand Base Matrix'!I$60+'Demand Base Matrix'!I$61*$AF$2),IF($C14="Explore",('Demand Base Matrix'!I$82*$AC$2*$AD$2*$AE$2*$AF$2+'Demand Base Matrix'!I$83*$W$2*$AC$2*$AD$2*$AE$2*$AF$2+'Demand Base Matrix'!I$84)))))</f>
        <v>10</v>
      </c>
      <c r="AM14">
        <f>IF($C14="Validate",(('Demand Base Matrix'!J$2+'Demand Base Matrix'!J$6)*$AC$2*$AD$2*$AE$2+('Demand Base Matrix'!J$3+'Demand Base Matrix'!J$4)*$W$2*$AD$2+'Demand Base Matrix'!J$5*$W$2*$AD$2*$AE$2+'Demand Base Matrix'!J$7+'Demand Base Matrix'!J$8*$AF$2),IF($C14="Integrate",(('Demand Base Matrix'!J$28+'Demand Base Matrix'!J$32)*$AC$2*$AD$2*$AE$2+('Demand Base Matrix'!J$29+'Demand Base Matrix'!J$30)*$W$2*$AD$2+'Demand Base Matrix'!J$31*$W$2*$AD$2*$AE$2+'Demand Base Matrix'!J$33+'Demand Base Matrix'!J$34*$AF$2),IF($C14="Bond",(('Demand Base Matrix'!J$55+'Demand Base Matrix'!J$59)*$AC$2*$AD$2*$AE$2+('Demand Base Matrix'!J$56+'Demand Base Matrix'!J$57)*$W$2*$AD$2+'Demand Base Matrix'!J$58*$W$2*$AD$2*$AE$2+'Demand Base Matrix'!J$60+'Demand Base Matrix'!J$61*$AF$2),IF($C14="Explore",('Demand Base Matrix'!J$82*$AC$2*$AD$2*$AE$2*$AF$2+'Demand Base Matrix'!J$83*$W$2*$AC$2*$AD$2*$AE$2*$AF$2+'Demand Base Matrix'!J$84)))))</f>
        <v>4</v>
      </c>
      <c r="AN14" s="4"/>
      <c r="AP14" s="31"/>
      <c r="AQ14" s="31"/>
      <c r="AR14" s="31"/>
      <c r="AS14"/>
      <c r="AT14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</row>
    <row r="15" spans="1:95" x14ac:dyDescent="0.2">
      <c r="A15" t="s">
        <v>729</v>
      </c>
      <c r="B15" t="s">
        <v>42</v>
      </c>
      <c r="C15" t="s">
        <v>23</v>
      </c>
      <c r="D15" t="s">
        <v>178</v>
      </c>
      <c r="E15" t="s">
        <v>115</v>
      </c>
      <c r="F15" t="s">
        <v>184</v>
      </c>
      <c r="I15" t="str">
        <f>IFERROR(INDEX('Customer 360'!F:F,MATCH(B15,'Customer 360'!A:A,0)),"-")</f>
        <v>D</v>
      </c>
      <c r="J15">
        <v>200</v>
      </c>
      <c r="K15"/>
      <c r="L15" s="4">
        <v>46251</v>
      </c>
      <c r="M15" s="4">
        <v>46251</v>
      </c>
      <c r="N15">
        <v>2026</v>
      </c>
      <c r="O15" s="4">
        <v>46023</v>
      </c>
      <c r="P15" t="s">
        <v>217</v>
      </c>
      <c r="Q15" s="18">
        <f t="shared" si="0"/>
        <v>46023</v>
      </c>
      <c r="R15" s="18">
        <f>IFERROR(IF(M15&lt;&gt;"",M15,IF(L15&lt;&gt;"",L15,INDEX('CSM RDD'!B:B,MATCH(B15,'CSM RDD'!A:A,0)))),"-")</f>
        <v>46251</v>
      </c>
      <c r="S15" s="18">
        <f t="shared" si="4"/>
        <v>46023</v>
      </c>
      <c r="T15" s="18">
        <f t="shared" si="5"/>
        <v>46235</v>
      </c>
      <c r="U15" s="6">
        <f t="shared" si="1"/>
        <v>200</v>
      </c>
      <c r="V15" s="18">
        <f t="shared" si="2"/>
        <v>46082</v>
      </c>
      <c r="W15">
        <f>IF(U15=0,1,IF(U15&lt;='Demand Base Matrix'!$K$3,'Demand Base Matrix'!$L$3,IF(U15&lt;='Demand Base Matrix'!$K$4,'Demand Base Matrix'!$L$4,IF(U15&lt;='Demand Base Matrix'!$K$5,'Demand Base Matrix'!$L$5,IF(U15&lt;='Demand Base Matrix'!$K$6,'Demand Base Matrix'!$L$6,IF(U15&lt;='Demand Base Matrix'!$K$7,'Demand Base Matrix'!$L$7))))))</f>
        <v>0.75</v>
      </c>
      <c r="X15" s="4">
        <f t="shared" si="6"/>
        <v>46235</v>
      </c>
      <c r="Y15" t="str">
        <f t="shared" si="3"/>
        <v>Dx</v>
      </c>
      <c r="Z15" t="s">
        <v>685</v>
      </c>
      <c r="AA15" t="s">
        <v>685</v>
      </c>
      <c r="AB15" t="s">
        <v>685</v>
      </c>
      <c r="AC15">
        <f>IFERROR(INDEX('Demand Base Matrix'!AM:AM,MATCH(Y15,'Demand Base Matrix'!AL:AL,0)),"-")</f>
        <v>1</v>
      </c>
      <c r="AD15">
        <f>IFERROR(INDEX('Demand Base Matrix'!AO:AO,MATCH(Z15,'Demand Base Matrix'!AN:AN,0)),1)</f>
        <v>1</v>
      </c>
      <c r="AE15">
        <f>IFERROR(INDEX('Demand Base Matrix'!AQ:AQ,MATCH(AA15,'Demand Base Matrix'!AP:AP,0)),1)</f>
        <v>1</v>
      </c>
      <c r="AF15">
        <f>IFERROR(INDEX('Demand Base Matrix'!AS:AS,MATCH(AB15,'Demand Base Matrix'!AR:AR,0)),1)</f>
        <v>1</v>
      </c>
      <c r="AG15">
        <f>IF($C15="Validate",(('Demand Base Matrix'!D$2+'Demand Base Matrix'!D$6)*$AC$2*$AD$2*$AE$2+('Demand Base Matrix'!D$3+'Demand Base Matrix'!D$4)*$W$2*$AD$2+'Demand Base Matrix'!D$5*$W$2*$AD$2*$AE$2+'Demand Base Matrix'!D$7+'Demand Base Matrix'!D$8*$AF$2),IF($C15="Integrate",(('Demand Base Matrix'!D$28+'Demand Base Matrix'!D$32)*$AC$2*$AD$2*$AE$2+('Demand Base Matrix'!D$29+'Demand Base Matrix'!D$30)*$W$2*$AD$2+'Demand Base Matrix'!D$31*$W$2*$AD$2*$AE$2+'Demand Base Matrix'!D$33+'Demand Base Matrix'!D$34*$AF$2),IF($C15="Bond",(('Demand Base Matrix'!D$55+'Demand Base Matrix'!D$59)*$AC$2*$AD$2*$AE$2+('Demand Base Matrix'!D$56+'Demand Base Matrix'!D$57)*$W$2*$AD$2+'Demand Base Matrix'!D$58*$W$2*$AD$2*$AE$2+'Demand Base Matrix'!D$60+'Demand Base Matrix'!D$61*$AF$2),IF($C15="Explore",('Demand Base Matrix'!D$82*$AC$2*$AD$2*$AE$2*$AF$2+'Demand Base Matrix'!D$83*$W$2*$AC$2*$AD$2*$AE$2*$AF$2+'Demand Base Matrix'!D$84)))))</f>
        <v>10</v>
      </c>
      <c r="AH15">
        <f>IF($C15="Validate",(('Demand Base Matrix'!E$2+'Demand Base Matrix'!E$6)*$AC$2*$AD$2*$AE$2+('Demand Base Matrix'!E$3+'Demand Base Matrix'!E$4)*$W$2*$AD$2+'Demand Base Matrix'!E$5*$W$2*$AD$2*$AE$2+'Demand Base Matrix'!E$7+'Demand Base Matrix'!E$8*$AF$2),IF($C15="Integrate",(('Demand Base Matrix'!E$28+'Demand Base Matrix'!E$32)*$AC$2*$AD$2*$AE$2+('Demand Base Matrix'!E$29+'Demand Base Matrix'!E$30)*$W$2*$AD$2+'Demand Base Matrix'!E$31*$W$2*$AD$2*$AE$2+'Demand Base Matrix'!E$33+'Demand Base Matrix'!E$34*$AF$2),IF($C15="Bond",(('Demand Base Matrix'!E$55+'Demand Base Matrix'!E$59)*$AC$2*$AD$2*$AE$2+('Demand Base Matrix'!E$56+'Demand Base Matrix'!E$57)*$W$2*$AD$2+'Demand Base Matrix'!E$58*$W$2*$AD$2*$AE$2+'Demand Base Matrix'!E$60+'Demand Base Matrix'!E$61*$AF$2),IF($C15="Explore",('Demand Base Matrix'!E$82*$AC$2*$AD$2*$AE$2*$AF$2+'Demand Base Matrix'!E$83*$W$2*$AC$2*$AD$2*$AE$2*$AF$2+'Demand Base Matrix'!E$84)))))</f>
        <v>10</v>
      </c>
      <c r="AI15">
        <f>IF($C15="Validate",(('Demand Base Matrix'!F$2+'Demand Base Matrix'!F$6)*$AC$2*$AD$2*$AE$2+('Demand Base Matrix'!F$3+'Demand Base Matrix'!F$4)*$W$2*$AD$2+'Demand Base Matrix'!F$5*$W$2*$AD$2*$AE$2+'Demand Base Matrix'!F$7+'Demand Base Matrix'!F$8*$AF$2),IF($C15="Integrate",(('Demand Base Matrix'!F$28+'Demand Base Matrix'!F$32)*$AC$2*$AD$2*$AE$2+('Demand Base Matrix'!F$29+'Demand Base Matrix'!F$30)*$W$2*$AD$2+'Demand Base Matrix'!F$31*$W$2*$AD$2*$AE$2+'Demand Base Matrix'!F$33+'Demand Base Matrix'!F$34*$AF$2),IF($C15="Bond",(('Demand Base Matrix'!F$55+'Demand Base Matrix'!F$59)*$AC$2*$AD$2*$AE$2+('Demand Base Matrix'!F$56+'Demand Base Matrix'!F$57)*$W$2*$AD$2+'Demand Base Matrix'!F$58*$W$2*$AD$2*$AE$2+'Demand Base Matrix'!F$60+'Demand Base Matrix'!F$61*$AF$2),IF($C15="Explore",('Demand Base Matrix'!F$82*$AC$2*$AD$2*$AE$2*$AF$2+'Demand Base Matrix'!F$83*$W$2*$AC$2*$AD$2*$AE$2*$AF$2+'Demand Base Matrix'!F$84)))))</f>
        <v>10</v>
      </c>
      <c r="AJ15">
        <f>IF($C15="Validate",(('Demand Base Matrix'!G$2+'Demand Base Matrix'!G$6)*$AC$2*$AD$2*$AE$2+('Demand Base Matrix'!G$3+'Demand Base Matrix'!G$4)*$W$2*$AD$2+'Demand Base Matrix'!G$5*$W$2*$AD$2*$AE$2+'Demand Base Matrix'!G$7+'Demand Base Matrix'!G$8*$AF$2),IF($C15="Integrate",(('Demand Base Matrix'!G$28+'Demand Base Matrix'!G$32)*$AC$2*$AD$2*$AE$2+('Demand Base Matrix'!G$29+'Demand Base Matrix'!G$30)*$W$2*$AD$2+'Demand Base Matrix'!G$31*$W$2*$AD$2*$AE$2+'Demand Base Matrix'!G$33+'Demand Base Matrix'!G$34*$AF$2),IF($C15="Bond",(('Demand Base Matrix'!G$55+'Demand Base Matrix'!G$59)*$AC$2*$AD$2*$AE$2+('Demand Base Matrix'!G$56+'Demand Base Matrix'!G$57)*$W$2*$AD$2+'Demand Base Matrix'!G$58*$W$2*$AD$2*$AE$2+'Demand Base Matrix'!G$60+'Demand Base Matrix'!G$61*$AF$2),IF($C15="Explore",('Demand Base Matrix'!G$82*$AC$2*$AD$2*$AE$2*$AF$2+'Demand Base Matrix'!G$83*$W$2*$AC$2*$AD$2*$AE$2*$AF$2+'Demand Base Matrix'!G$84)))))</f>
        <v>50</v>
      </c>
      <c r="AK15">
        <f>IF($C15="Validate",(('Demand Base Matrix'!H$2+'Demand Base Matrix'!H$6)*$AC$2*$AD$2*$AE$2+('Demand Base Matrix'!H$3+'Demand Base Matrix'!H$4)*$W$2*$AD$2+'Demand Base Matrix'!H$5*$W$2*$AD$2*$AE$2+'Demand Base Matrix'!H$7+'Demand Base Matrix'!H$8*$AF$2),IF($C15="Integrate",(('Demand Base Matrix'!H$28+'Demand Base Matrix'!H$32)*$AC$2*$AD$2*$AE$2+('Demand Base Matrix'!H$29+'Demand Base Matrix'!H$30)*$W$2*$AD$2+'Demand Base Matrix'!H$31*$W$2*$AD$2*$AE$2+'Demand Base Matrix'!H$33+'Demand Base Matrix'!H$34*$AF$2),IF($C15="Bond",(('Demand Base Matrix'!H$55+'Demand Base Matrix'!H$59)*$AC$2*$AD$2*$AE$2+('Demand Base Matrix'!H$56+'Demand Base Matrix'!H$57)*$W$2*$AD$2+'Demand Base Matrix'!H$58*$W$2*$AD$2*$AE$2+'Demand Base Matrix'!H$60+'Demand Base Matrix'!H$61*$AF$2),IF($C15="Explore",('Demand Base Matrix'!H$82*$AC$2*$AD$2*$AE$2*$AF$2+'Demand Base Matrix'!H$83*$W$2*$AC$2*$AD$2*$AE$2*$AF$2+'Demand Base Matrix'!H$84)))))</f>
        <v>28</v>
      </c>
      <c r="AL15">
        <f>IF($C15="Validate",(('Demand Base Matrix'!I$2+'Demand Base Matrix'!I$6)*$AC$2*$AD$2*$AE$2+('Demand Base Matrix'!I$3+'Demand Base Matrix'!I$4)*$W$2*$AD$2+'Demand Base Matrix'!I$5*$W$2*$AD$2*$AE$2+'Demand Base Matrix'!I$7+'Demand Base Matrix'!I$8*$AF$2),IF($C15="Integrate",(('Demand Base Matrix'!I$28+'Demand Base Matrix'!I$32)*$AC$2*$AD$2*$AE$2+('Demand Base Matrix'!I$29+'Demand Base Matrix'!I$30)*$W$2*$AD$2+'Demand Base Matrix'!I$31*$W$2*$AD$2*$AE$2+'Demand Base Matrix'!I$33+'Demand Base Matrix'!I$34*$AF$2),IF($C15="Bond",(('Demand Base Matrix'!I$55+'Demand Base Matrix'!I$59)*$AC$2*$AD$2*$AE$2+('Demand Base Matrix'!I$56+'Demand Base Matrix'!I$57)*$W$2*$AD$2+'Demand Base Matrix'!I$58*$W$2*$AD$2*$AE$2+'Demand Base Matrix'!I$60+'Demand Base Matrix'!I$61*$AF$2),IF($C15="Explore",('Demand Base Matrix'!I$82*$AC$2*$AD$2*$AE$2*$AF$2+'Demand Base Matrix'!I$83*$W$2*$AC$2*$AD$2*$AE$2*$AF$2+'Demand Base Matrix'!I$84)))))</f>
        <v>8</v>
      </c>
      <c r="AM15">
        <f>IF($C15="Validate",(('Demand Base Matrix'!J$2+'Demand Base Matrix'!J$6)*$AC$2*$AD$2*$AE$2+('Demand Base Matrix'!J$3+'Demand Base Matrix'!J$4)*$W$2*$AD$2+'Demand Base Matrix'!J$5*$W$2*$AD$2*$AE$2+'Demand Base Matrix'!J$7+'Demand Base Matrix'!J$8*$AF$2),IF($C15="Integrate",(('Demand Base Matrix'!J$28+'Demand Base Matrix'!J$32)*$AC$2*$AD$2*$AE$2+('Demand Base Matrix'!J$29+'Demand Base Matrix'!J$30)*$W$2*$AD$2+'Demand Base Matrix'!J$31*$W$2*$AD$2*$AE$2+'Demand Base Matrix'!J$33+'Demand Base Matrix'!J$34*$AF$2),IF($C15="Bond",(('Demand Base Matrix'!J$55+'Demand Base Matrix'!J$59)*$AC$2*$AD$2*$AE$2+('Demand Base Matrix'!J$56+'Demand Base Matrix'!J$57)*$W$2*$AD$2+'Demand Base Matrix'!J$58*$W$2*$AD$2*$AE$2+'Demand Base Matrix'!J$60+'Demand Base Matrix'!J$61*$AF$2),IF($C15="Explore",('Demand Base Matrix'!J$82*$AC$2*$AD$2*$AE$2*$AF$2+'Demand Base Matrix'!J$83*$W$2*$AC$2*$AD$2*$AE$2*$AF$2+'Demand Base Matrix'!J$84)))))</f>
        <v>8</v>
      </c>
      <c r="AP15" s="5"/>
      <c r="AQ15" s="5"/>
      <c r="AR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</row>
    <row r="16" spans="1:95" x14ac:dyDescent="0.2">
      <c r="A16" t="s">
        <v>730</v>
      </c>
      <c r="B16" t="s">
        <v>43</v>
      </c>
      <c r="C16" t="s">
        <v>23</v>
      </c>
      <c r="D16" t="s">
        <v>179</v>
      </c>
      <c r="E16" t="s">
        <v>222</v>
      </c>
      <c r="F16" t="s">
        <v>799</v>
      </c>
      <c r="I16" t="str">
        <f>IFERROR(INDEX('Customer 360'!F:F,MATCH(B16,'Customer 360'!A:A,0)),"-")</f>
        <v>D</v>
      </c>
      <c r="J16">
        <v>488</v>
      </c>
      <c r="K16"/>
      <c r="L16" s="4">
        <v>46176</v>
      </c>
      <c r="M16" s="4">
        <v>46176</v>
      </c>
      <c r="N16">
        <v>2026</v>
      </c>
      <c r="O16" s="4">
        <v>46023</v>
      </c>
      <c r="P16" t="s">
        <v>217</v>
      </c>
      <c r="Q16" s="18">
        <f t="shared" si="0"/>
        <v>46023</v>
      </c>
      <c r="R16" s="18">
        <f>IFERROR(IF(M16&lt;&gt;"",M16,IF(L16&lt;&gt;"",L16,INDEX('CSM RDD'!B:B,MATCH(B16,'CSM RDD'!A:A,0)))),"-")</f>
        <v>46176</v>
      </c>
      <c r="S16" s="18">
        <f t="shared" si="4"/>
        <v>46023</v>
      </c>
      <c r="T16" s="18">
        <f t="shared" si="5"/>
        <v>46174</v>
      </c>
      <c r="U16" s="6">
        <f t="shared" si="1"/>
        <v>488</v>
      </c>
      <c r="V16" s="18">
        <f t="shared" si="2"/>
        <v>46082</v>
      </c>
      <c r="W16">
        <f>IF(U16=0,1,IF(U16&lt;='Demand Base Matrix'!$K$3,'Demand Base Matrix'!$L$3,IF(U16&lt;='Demand Base Matrix'!$K$4,'Demand Base Matrix'!$L$4,IF(U16&lt;='Demand Base Matrix'!$K$5,'Demand Base Matrix'!$L$5,IF(U16&lt;='Demand Base Matrix'!$K$6,'Demand Base Matrix'!$L$6,IF(U16&lt;='Demand Base Matrix'!$K$7,'Demand Base Matrix'!$L$7))))))</f>
        <v>0.75</v>
      </c>
      <c r="X16" s="4">
        <f t="shared" si="6"/>
        <v>46174</v>
      </c>
      <c r="Y16" t="str">
        <f t="shared" si="3"/>
        <v>Dx</v>
      </c>
      <c r="Z16" t="s">
        <v>685</v>
      </c>
      <c r="AA16" t="s">
        <v>685</v>
      </c>
      <c r="AB16" t="s">
        <v>685</v>
      </c>
      <c r="AC16">
        <f>IFERROR(INDEX('Demand Base Matrix'!AM:AM,MATCH(Y16,'Demand Base Matrix'!AL:AL,0)),"-")</f>
        <v>1</v>
      </c>
      <c r="AD16">
        <f>IFERROR(INDEX('Demand Base Matrix'!AO:AO,MATCH(Z16,'Demand Base Matrix'!AN:AN,0)),1)</f>
        <v>1</v>
      </c>
      <c r="AE16">
        <f>IFERROR(INDEX('Demand Base Matrix'!AQ:AQ,MATCH(AA16,'Demand Base Matrix'!AP:AP,0)),1)</f>
        <v>1</v>
      </c>
      <c r="AF16">
        <f>IFERROR(INDEX('Demand Base Matrix'!AS:AS,MATCH(AB16,'Demand Base Matrix'!AR:AR,0)),1)</f>
        <v>1</v>
      </c>
      <c r="AG16">
        <f>IF($C16="Validate",(('Demand Base Matrix'!D$2+'Demand Base Matrix'!D$6)*$AC$2*$AD$2*$AE$2+('Demand Base Matrix'!D$3+'Demand Base Matrix'!D$4)*$W$2*$AD$2+'Demand Base Matrix'!D$5*$W$2*$AD$2*$AE$2+'Demand Base Matrix'!D$7+'Demand Base Matrix'!D$8*$AF$2),IF($C16="Integrate",(('Demand Base Matrix'!D$28+'Demand Base Matrix'!D$32)*$AC$2*$AD$2*$AE$2+('Demand Base Matrix'!D$29+'Demand Base Matrix'!D$30)*$W$2*$AD$2+'Demand Base Matrix'!D$31*$W$2*$AD$2*$AE$2+'Demand Base Matrix'!D$33+'Demand Base Matrix'!D$34*$AF$2),IF($C16="Bond",(('Demand Base Matrix'!D$55+'Demand Base Matrix'!D$59)*$AC$2*$AD$2*$AE$2+('Demand Base Matrix'!D$56+'Demand Base Matrix'!D$57)*$W$2*$AD$2+'Demand Base Matrix'!D$58*$W$2*$AD$2*$AE$2+'Demand Base Matrix'!D$60+'Demand Base Matrix'!D$61*$AF$2),IF($C16="Explore",('Demand Base Matrix'!D$82*$AC$2*$AD$2*$AE$2*$AF$2+'Demand Base Matrix'!D$83*$W$2*$AC$2*$AD$2*$AE$2*$AF$2+'Demand Base Matrix'!D$84)))))</f>
        <v>10</v>
      </c>
      <c r="AH16">
        <f>IF($C16="Validate",(('Demand Base Matrix'!E$2+'Demand Base Matrix'!E$6)*$AC$2*$AD$2*$AE$2+('Demand Base Matrix'!E$3+'Demand Base Matrix'!E$4)*$W$2*$AD$2+'Demand Base Matrix'!E$5*$W$2*$AD$2*$AE$2+'Demand Base Matrix'!E$7+'Demand Base Matrix'!E$8*$AF$2),IF($C16="Integrate",(('Demand Base Matrix'!E$28+'Demand Base Matrix'!E$32)*$AC$2*$AD$2*$AE$2+('Demand Base Matrix'!E$29+'Demand Base Matrix'!E$30)*$W$2*$AD$2+'Demand Base Matrix'!E$31*$W$2*$AD$2*$AE$2+'Demand Base Matrix'!E$33+'Demand Base Matrix'!E$34*$AF$2),IF($C16="Bond",(('Demand Base Matrix'!E$55+'Demand Base Matrix'!E$59)*$AC$2*$AD$2*$AE$2+('Demand Base Matrix'!E$56+'Demand Base Matrix'!E$57)*$W$2*$AD$2+'Demand Base Matrix'!E$58*$W$2*$AD$2*$AE$2+'Demand Base Matrix'!E$60+'Demand Base Matrix'!E$61*$AF$2),IF($C16="Explore",('Demand Base Matrix'!E$82*$AC$2*$AD$2*$AE$2*$AF$2+'Demand Base Matrix'!E$83*$W$2*$AC$2*$AD$2*$AE$2*$AF$2+'Demand Base Matrix'!E$84)))))</f>
        <v>10</v>
      </c>
      <c r="AI16">
        <f>IF($C16="Validate",(('Demand Base Matrix'!F$2+'Demand Base Matrix'!F$6)*$AC$2*$AD$2*$AE$2+('Demand Base Matrix'!F$3+'Demand Base Matrix'!F$4)*$W$2*$AD$2+'Demand Base Matrix'!F$5*$W$2*$AD$2*$AE$2+'Demand Base Matrix'!F$7+'Demand Base Matrix'!F$8*$AF$2),IF($C16="Integrate",(('Demand Base Matrix'!F$28+'Demand Base Matrix'!F$32)*$AC$2*$AD$2*$AE$2+('Demand Base Matrix'!F$29+'Demand Base Matrix'!F$30)*$W$2*$AD$2+'Demand Base Matrix'!F$31*$W$2*$AD$2*$AE$2+'Demand Base Matrix'!F$33+'Demand Base Matrix'!F$34*$AF$2),IF($C16="Bond",(('Demand Base Matrix'!F$55+'Demand Base Matrix'!F$59)*$AC$2*$AD$2*$AE$2+('Demand Base Matrix'!F$56+'Demand Base Matrix'!F$57)*$W$2*$AD$2+'Demand Base Matrix'!F$58*$W$2*$AD$2*$AE$2+'Demand Base Matrix'!F$60+'Demand Base Matrix'!F$61*$AF$2),IF($C16="Explore",('Demand Base Matrix'!F$82*$AC$2*$AD$2*$AE$2*$AF$2+'Demand Base Matrix'!F$83*$W$2*$AC$2*$AD$2*$AE$2*$AF$2+'Demand Base Matrix'!F$84)))))</f>
        <v>10</v>
      </c>
      <c r="AJ16">
        <f>IF($C16="Validate",(('Demand Base Matrix'!G$2+'Demand Base Matrix'!G$6)*$AC$2*$AD$2*$AE$2+('Demand Base Matrix'!G$3+'Demand Base Matrix'!G$4)*$W$2*$AD$2+'Demand Base Matrix'!G$5*$W$2*$AD$2*$AE$2+'Demand Base Matrix'!G$7+'Demand Base Matrix'!G$8*$AF$2),IF($C16="Integrate",(('Demand Base Matrix'!G$28+'Demand Base Matrix'!G$32)*$AC$2*$AD$2*$AE$2+('Demand Base Matrix'!G$29+'Demand Base Matrix'!G$30)*$W$2*$AD$2+'Demand Base Matrix'!G$31*$W$2*$AD$2*$AE$2+'Demand Base Matrix'!G$33+'Demand Base Matrix'!G$34*$AF$2),IF($C16="Bond",(('Demand Base Matrix'!G$55+'Demand Base Matrix'!G$59)*$AC$2*$AD$2*$AE$2+('Demand Base Matrix'!G$56+'Demand Base Matrix'!G$57)*$W$2*$AD$2+'Demand Base Matrix'!G$58*$W$2*$AD$2*$AE$2+'Demand Base Matrix'!G$60+'Demand Base Matrix'!G$61*$AF$2),IF($C16="Explore",('Demand Base Matrix'!G$82*$AC$2*$AD$2*$AE$2*$AF$2+'Demand Base Matrix'!G$83*$W$2*$AC$2*$AD$2*$AE$2*$AF$2+'Demand Base Matrix'!G$84)))))</f>
        <v>50</v>
      </c>
      <c r="AK16">
        <f>IF($C16="Validate",(('Demand Base Matrix'!H$2+'Demand Base Matrix'!H$6)*$AC$2*$AD$2*$AE$2+('Demand Base Matrix'!H$3+'Demand Base Matrix'!H$4)*$W$2*$AD$2+'Demand Base Matrix'!H$5*$W$2*$AD$2*$AE$2+'Demand Base Matrix'!H$7+'Demand Base Matrix'!H$8*$AF$2),IF($C16="Integrate",(('Demand Base Matrix'!H$28+'Demand Base Matrix'!H$32)*$AC$2*$AD$2*$AE$2+('Demand Base Matrix'!H$29+'Demand Base Matrix'!H$30)*$W$2*$AD$2+'Demand Base Matrix'!H$31*$W$2*$AD$2*$AE$2+'Demand Base Matrix'!H$33+'Demand Base Matrix'!H$34*$AF$2),IF($C16="Bond",(('Demand Base Matrix'!H$55+'Demand Base Matrix'!H$59)*$AC$2*$AD$2*$AE$2+('Demand Base Matrix'!H$56+'Demand Base Matrix'!H$57)*$W$2*$AD$2+'Demand Base Matrix'!H$58*$W$2*$AD$2*$AE$2+'Demand Base Matrix'!H$60+'Demand Base Matrix'!H$61*$AF$2),IF($C16="Explore",('Demand Base Matrix'!H$82*$AC$2*$AD$2*$AE$2*$AF$2+'Demand Base Matrix'!H$83*$W$2*$AC$2*$AD$2*$AE$2*$AF$2+'Demand Base Matrix'!H$84)))))</f>
        <v>28</v>
      </c>
      <c r="AL16">
        <f>IF($C16="Validate",(('Demand Base Matrix'!I$2+'Demand Base Matrix'!I$6)*$AC$2*$AD$2*$AE$2+('Demand Base Matrix'!I$3+'Demand Base Matrix'!I$4)*$W$2*$AD$2+'Demand Base Matrix'!I$5*$W$2*$AD$2*$AE$2+'Demand Base Matrix'!I$7+'Demand Base Matrix'!I$8*$AF$2),IF($C16="Integrate",(('Demand Base Matrix'!I$28+'Demand Base Matrix'!I$32)*$AC$2*$AD$2*$AE$2+('Demand Base Matrix'!I$29+'Demand Base Matrix'!I$30)*$W$2*$AD$2+'Demand Base Matrix'!I$31*$W$2*$AD$2*$AE$2+'Demand Base Matrix'!I$33+'Demand Base Matrix'!I$34*$AF$2),IF($C16="Bond",(('Demand Base Matrix'!I$55+'Demand Base Matrix'!I$59)*$AC$2*$AD$2*$AE$2+('Demand Base Matrix'!I$56+'Demand Base Matrix'!I$57)*$W$2*$AD$2+'Demand Base Matrix'!I$58*$W$2*$AD$2*$AE$2+'Demand Base Matrix'!I$60+'Demand Base Matrix'!I$61*$AF$2),IF($C16="Explore",('Demand Base Matrix'!I$82*$AC$2*$AD$2*$AE$2*$AF$2+'Demand Base Matrix'!I$83*$W$2*$AC$2*$AD$2*$AE$2*$AF$2+'Demand Base Matrix'!I$84)))))</f>
        <v>8</v>
      </c>
      <c r="AM16">
        <f>IF($C16="Validate",(('Demand Base Matrix'!J$2+'Demand Base Matrix'!J$6)*$AC$2*$AD$2*$AE$2+('Demand Base Matrix'!J$3+'Demand Base Matrix'!J$4)*$W$2*$AD$2+'Demand Base Matrix'!J$5*$W$2*$AD$2*$AE$2+'Demand Base Matrix'!J$7+'Demand Base Matrix'!J$8*$AF$2),IF($C16="Integrate",(('Demand Base Matrix'!J$28+'Demand Base Matrix'!J$32)*$AC$2*$AD$2*$AE$2+('Demand Base Matrix'!J$29+'Demand Base Matrix'!J$30)*$W$2*$AD$2+'Demand Base Matrix'!J$31*$W$2*$AD$2*$AE$2+'Demand Base Matrix'!J$33+'Demand Base Matrix'!J$34*$AF$2),IF($C16="Bond",(('Demand Base Matrix'!J$55+'Demand Base Matrix'!J$59)*$AC$2*$AD$2*$AE$2+('Demand Base Matrix'!J$56+'Demand Base Matrix'!J$57)*$W$2*$AD$2+'Demand Base Matrix'!J$58*$W$2*$AD$2*$AE$2+'Demand Base Matrix'!J$60+'Demand Base Matrix'!J$61*$AF$2),IF($C16="Explore",('Demand Base Matrix'!J$82*$AC$2*$AD$2*$AE$2*$AF$2+'Demand Base Matrix'!J$83*$W$2*$AC$2*$AD$2*$AE$2*$AF$2+'Demand Base Matrix'!J$84)))))</f>
        <v>8</v>
      </c>
      <c r="AP16" s="5"/>
      <c r="AQ16" s="5"/>
      <c r="AR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</row>
    <row r="17" spans="1:95" x14ac:dyDescent="0.2">
      <c r="A17" t="s">
        <v>731</v>
      </c>
      <c r="B17" t="s">
        <v>231</v>
      </c>
      <c r="C17" t="s">
        <v>20</v>
      </c>
      <c r="D17" t="s">
        <v>69</v>
      </c>
      <c r="E17" t="s">
        <v>117</v>
      </c>
      <c r="F17" t="s">
        <v>184</v>
      </c>
      <c r="I17" t="str">
        <f>IFERROR(INDEX('Customer 360'!F:F,MATCH(B17,'Customer 360'!A:A,0)),"-")</f>
        <v>C</v>
      </c>
      <c r="J17"/>
      <c r="K17"/>
      <c r="L17" s="4" t="s">
        <v>801</v>
      </c>
      <c r="M17" s="4">
        <v>46311</v>
      </c>
      <c r="N17">
        <v>2026</v>
      </c>
      <c r="O17" s="4">
        <v>46082</v>
      </c>
      <c r="P17" t="s">
        <v>217</v>
      </c>
      <c r="Q17" s="18">
        <f t="shared" si="0"/>
        <v>46082</v>
      </c>
      <c r="R17" s="18">
        <f>IFERROR(IF(M17&lt;&gt;"",M17,IF(L17&lt;&gt;"",L17,INDEX('CSM RDD'!B:B,MATCH(B17,'CSM RDD'!A:A,0)))),"-")</f>
        <v>46311</v>
      </c>
      <c r="S17" s="18">
        <f t="shared" si="4"/>
        <v>46082</v>
      </c>
      <c r="T17" s="18">
        <f t="shared" si="5"/>
        <v>46296</v>
      </c>
      <c r="U17" s="6">
        <f t="shared" si="1"/>
        <v>0</v>
      </c>
      <c r="V17" s="18">
        <f t="shared" si="2"/>
        <v>46082</v>
      </c>
      <c r="W17">
        <f>IF(U17=0,1,IF(U17&lt;='Demand Base Matrix'!$K$3,'Demand Base Matrix'!$L$3,IF(U17&lt;='Demand Base Matrix'!$K$4,'Demand Base Matrix'!$L$4,IF(U17&lt;='Demand Base Matrix'!$K$5,'Demand Base Matrix'!$L$5,IF(U17&lt;='Demand Base Matrix'!$K$6,'Demand Base Matrix'!$L$6,IF(U17&lt;='Demand Base Matrix'!$K$7,'Demand Base Matrix'!$L$7))))))</f>
        <v>1</v>
      </c>
      <c r="X17" s="4">
        <f>DATE(YEAR(R17),MONTH(R17),1)</f>
        <v>46296</v>
      </c>
      <c r="Y17" t="str">
        <f t="shared" si="3"/>
        <v>Dx</v>
      </c>
      <c r="Z17">
        <v>0</v>
      </c>
      <c r="AA17">
        <v>0</v>
      </c>
      <c r="AB17">
        <v>0</v>
      </c>
      <c r="AC17">
        <f>IFERROR(INDEX('Demand Base Matrix'!AM:AM,MATCH(Y17,'Demand Base Matrix'!AL:AL,0)),"-")</f>
        <v>1</v>
      </c>
      <c r="AD17">
        <f>IFERROR(INDEX('Demand Base Matrix'!AO:AO,MATCH(Z17,'Demand Base Matrix'!AN:AN,0)),1)</f>
        <v>1</v>
      </c>
      <c r="AE17">
        <f>IFERROR(INDEX('Demand Base Matrix'!AQ:AQ,MATCH(AA17,'Demand Base Matrix'!AP:AP,0)),1)</f>
        <v>1</v>
      </c>
      <c r="AF17">
        <f>IFERROR(INDEX('Demand Base Matrix'!AS:AS,MATCH(AB17,'Demand Base Matrix'!AR:AR,0)),1)</f>
        <v>1</v>
      </c>
      <c r="AG17">
        <f>IF($C17="Validate",(('Demand Base Matrix'!D$2+'Demand Base Matrix'!D$6)*$AC$2*$AD$2*$AE$2+('Demand Base Matrix'!D$3+'Demand Base Matrix'!D$4)*$W$2*$AD$2+'Demand Base Matrix'!D$5*$W$2*$AD$2*$AE$2+'Demand Base Matrix'!D$7+'Demand Base Matrix'!D$8*$AF$2),IF($C17="Integrate",(('Demand Base Matrix'!D$28+'Demand Base Matrix'!D$32)*$AC$2*$AD$2*$AE$2+('Demand Base Matrix'!D$29+'Demand Base Matrix'!D$30)*$W$2*$AD$2+'Demand Base Matrix'!D$31*$W$2*$AD$2*$AE$2+'Demand Base Matrix'!D$33+'Demand Base Matrix'!D$34*$AF$2),IF($C17="Bond",(('Demand Base Matrix'!D$55+'Demand Base Matrix'!D$59)*$AC$2*$AD$2*$AE$2+('Demand Base Matrix'!D$56+'Demand Base Matrix'!D$57)*$W$2*$AD$2+'Demand Base Matrix'!D$58*$W$2*$AD$2*$AE$2+'Demand Base Matrix'!D$60+'Demand Base Matrix'!D$61*$AF$2),IF($C17="Explore",('Demand Base Matrix'!D$82*$AC$2*$AD$2*$AE$2*$AF$2+'Demand Base Matrix'!D$83*$W$2*$AC$2*$AD$2*$AE$2*$AF$2+'Demand Base Matrix'!D$84)))))</f>
        <v>15</v>
      </c>
      <c r="AH17">
        <f>IF($C17="Validate",(('Demand Base Matrix'!E$2+'Demand Base Matrix'!E$6)*$AC$2*$AD$2*$AE$2+('Demand Base Matrix'!E$3+'Demand Base Matrix'!E$4)*$W$2*$AD$2+'Demand Base Matrix'!E$5*$W$2*$AD$2*$AE$2+'Demand Base Matrix'!E$7+'Demand Base Matrix'!E$8*$AF$2),IF($C17="Integrate",(('Demand Base Matrix'!E$28+'Demand Base Matrix'!E$32)*$AC$2*$AD$2*$AE$2+('Demand Base Matrix'!E$29+'Demand Base Matrix'!E$30)*$W$2*$AD$2+'Demand Base Matrix'!E$31*$W$2*$AD$2*$AE$2+'Demand Base Matrix'!E$33+'Demand Base Matrix'!E$34*$AF$2),IF($C17="Bond",(('Demand Base Matrix'!E$55+'Demand Base Matrix'!E$59)*$AC$2*$AD$2*$AE$2+('Demand Base Matrix'!E$56+'Demand Base Matrix'!E$57)*$W$2*$AD$2+'Demand Base Matrix'!E$58*$W$2*$AD$2*$AE$2+'Demand Base Matrix'!E$60+'Demand Base Matrix'!E$61*$AF$2),IF($C17="Explore",('Demand Base Matrix'!E$82*$AC$2*$AD$2*$AE$2*$AF$2+'Demand Base Matrix'!E$83*$W$2*$AC$2*$AD$2*$AE$2*$AF$2+'Demand Base Matrix'!E$84)))))</f>
        <v>15</v>
      </c>
      <c r="AI17">
        <f>IF($C17="Validate",(('Demand Base Matrix'!F$2+'Demand Base Matrix'!F$6)*$AC$2*$AD$2*$AE$2+('Demand Base Matrix'!F$3+'Demand Base Matrix'!F$4)*$W$2*$AD$2+'Demand Base Matrix'!F$5*$W$2*$AD$2*$AE$2+'Demand Base Matrix'!F$7+'Demand Base Matrix'!F$8*$AF$2),IF($C17="Integrate",(('Demand Base Matrix'!F$28+'Demand Base Matrix'!F$32)*$AC$2*$AD$2*$AE$2+('Demand Base Matrix'!F$29+'Demand Base Matrix'!F$30)*$W$2*$AD$2+'Demand Base Matrix'!F$31*$W$2*$AD$2*$AE$2+'Demand Base Matrix'!F$33+'Demand Base Matrix'!F$34*$AF$2),IF($C17="Bond",(('Demand Base Matrix'!F$55+'Demand Base Matrix'!F$59)*$AC$2*$AD$2*$AE$2+('Demand Base Matrix'!F$56+'Demand Base Matrix'!F$57)*$W$2*$AD$2+'Demand Base Matrix'!F$58*$W$2*$AD$2*$AE$2+'Demand Base Matrix'!F$60+'Demand Base Matrix'!F$61*$AF$2),IF($C17="Explore",('Demand Base Matrix'!F$82*$AC$2*$AD$2*$AE$2*$AF$2+'Demand Base Matrix'!F$83*$W$2*$AC$2*$AD$2*$AE$2*$AF$2+'Demand Base Matrix'!F$84)))))</f>
        <v>7</v>
      </c>
      <c r="AJ17">
        <f>IF($C17="Validate",(('Demand Base Matrix'!G$2+'Demand Base Matrix'!G$6)*$AC$2*$AD$2*$AE$2+('Demand Base Matrix'!G$3+'Demand Base Matrix'!G$4)*$W$2*$AD$2+'Demand Base Matrix'!G$5*$W$2*$AD$2*$AE$2+'Demand Base Matrix'!G$7+'Demand Base Matrix'!G$8*$AF$2),IF($C17="Integrate",(('Demand Base Matrix'!G$28+'Demand Base Matrix'!G$32)*$AC$2*$AD$2*$AE$2+('Demand Base Matrix'!G$29+'Demand Base Matrix'!G$30)*$W$2*$AD$2+'Demand Base Matrix'!G$31*$W$2*$AD$2*$AE$2+'Demand Base Matrix'!G$33+'Demand Base Matrix'!G$34*$AF$2),IF($C17="Bond",(('Demand Base Matrix'!G$55+'Demand Base Matrix'!G$59)*$AC$2*$AD$2*$AE$2+('Demand Base Matrix'!G$56+'Demand Base Matrix'!G$57)*$W$2*$AD$2+'Demand Base Matrix'!G$58*$W$2*$AD$2*$AE$2+'Demand Base Matrix'!G$60+'Demand Base Matrix'!G$61*$AF$2),IF($C17="Explore",('Demand Base Matrix'!G$82*$AC$2*$AD$2*$AE$2*$AF$2+'Demand Base Matrix'!G$83*$W$2*$AC$2*$AD$2*$AE$2*$AF$2+'Demand Base Matrix'!G$84)))))</f>
        <v>40</v>
      </c>
      <c r="AK17">
        <f>IF($C17="Validate",(('Demand Base Matrix'!H$2+'Demand Base Matrix'!H$6)*$AC$2*$AD$2*$AE$2+('Demand Base Matrix'!H$3+'Demand Base Matrix'!H$4)*$W$2*$AD$2+'Demand Base Matrix'!H$5*$W$2*$AD$2*$AE$2+'Demand Base Matrix'!H$7+'Demand Base Matrix'!H$8*$AF$2),IF($C17="Integrate",(('Demand Base Matrix'!H$28+'Demand Base Matrix'!H$32)*$AC$2*$AD$2*$AE$2+('Demand Base Matrix'!H$29+'Demand Base Matrix'!H$30)*$W$2*$AD$2+'Demand Base Matrix'!H$31*$W$2*$AD$2*$AE$2+'Demand Base Matrix'!H$33+'Demand Base Matrix'!H$34*$AF$2),IF($C17="Bond",(('Demand Base Matrix'!H$55+'Demand Base Matrix'!H$59)*$AC$2*$AD$2*$AE$2+('Demand Base Matrix'!H$56+'Demand Base Matrix'!H$57)*$W$2*$AD$2+'Demand Base Matrix'!H$58*$W$2*$AD$2*$AE$2+'Demand Base Matrix'!H$60+'Demand Base Matrix'!H$61*$AF$2),IF($C17="Explore",('Demand Base Matrix'!H$82*$AC$2*$AD$2*$AE$2*$AF$2+'Demand Base Matrix'!H$83*$W$2*$AC$2*$AD$2*$AE$2*$AF$2+'Demand Base Matrix'!H$84)))))</f>
        <v>60</v>
      </c>
      <c r="AL17">
        <f>IF($C17="Validate",(('Demand Base Matrix'!I$2+'Demand Base Matrix'!I$6)*$AC$2*$AD$2*$AE$2+('Demand Base Matrix'!I$3+'Demand Base Matrix'!I$4)*$W$2*$AD$2+'Demand Base Matrix'!I$5*$W$2*$AD$2*$AE$2+'Demand Base Matrix'!I$7+'Demand Base Matrix'!I$8*$AF$2),IF($C17="Integrate",(('Demand Base Matrix'!I$28+'Demand Base Matrix'!I$32)*$AC$2*$AD$2*$AE$2+('Demand Base Matrix'!I$29+'Demand Base Matrix'!I$30)*$W$2*$AD$2+'Demand Base Matrix'!I$31*$W$2*$AD$2*$AE$2+'Demand Base Matrix'!I$33+'Demand Base Matrix'!I$34*$AF$2),IF($C17="Bond",(('Demand Base Matrix'!I$55+'Demand Base Matrix'!I$59)*$AC$2*$AD$2*$AE$2+('Demand Base Matrix'!I$56+'Demand Base Matrix'!I$57)*$W$2*$AD$2+'Demand Base Matrix'!I$58*$W$2*$AD$2*$AE$2+'Demand Base Matrix'!I$60+'Demand Base Matrix'!I$61*$AF$2),IF($C17="Explore",('Demand Base Matrix'!I$82*$AC$2*$AD$2*$AE$2*$AF$2+'Demand Base Matrix'!I$83*$W$2*$AC$2*$AD$2*$AE$2*$AF$2+'Demand Base Matrix'!I$84)))))</f>
        <v>10</v>
      </c>
      <c r="AM17">
        <f>IF($C17="Validate",(('Demand Base Matrix'!J$2+'Demand Base Matrix'!J$6)*$AC$2*$AD$2*$AE$2+('Demand Base Matrix'!J$3+'Demand Base Matrix'!J$4)*$W$2*$AD$2+'Demand Base Matrix'!J$5*$W$2*$AD$2*$AE$2+'Demand Base Matrix'!J$7+'Demand Base Matrix'!J$8*$AF$2),IF($C17="Integrate",(('Demand Base Matrix'!J$28+'Demand Base Matrix'!J$32)*$AC$2*$AD$2*$AE$2+('Demand Base Matrix'!J$29+'Demand Base Matrix'!J$30)*$W$2*$AD$2+'Demand Base Matrix'!J$31*$W$2*$AD$2*$AE$2+'Demand Base Matrix'!J$33+'Demand Base Matrix'!J$34*$AF$2),IF($C17="Bond",(('Demand Base Matrix'!J$55+'Demand Base Matrix'!J$59)*$AC$2*$AD$2*$AE$2+('Demand Base Matrix'!J$56+'Demand Base Matrix'!J$57)*$W$2*$AD$2+'Demand Base Matrix'!J$58*$W$2*$AD$2*$AE$2+'Demand Base Matrix'!J$60+'Demand Base Matrix'!J$61*$AF$2),IF($C17="Explore",('Demand Base Matrix'!J$82*$AC$2*$AD$2*$AE$2*$AF$2+'Demand Base Matrix'!J$83*$W$2*$AC$2*$AD$2*$AE$2*$AF$2+'Demand Base Matrix'!J$84)))))</f>
        <v>4</v>
      </c>
      <c r="AP17" s="5"/>
      <c r="AQ17" s="5"/>
      <c r="AR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</row>
    <row r="18" spans="1:95" x14ac:dyDescent="0.2">
      <c r="A18" t="s">
        <v>732</v>
      </c>
      <c r="B18" t="s">
        <v>45</v>
      </c>
      <c r="C18" t="s">
        <v>23</v>
      </c>
      <c r="D18" t="s">
        <v>179</v>
      </c>
      <c r="E18" t="s">
        <v>222</v>
      </c>
      <c r="F18" t="s">
        <v>799</v>
      </c>
      <c r="I18" t="str">
        <f>IFERROR(INDEX('Customer 360'!F:F,MATCH(B18,'Customer 360'!A:A,0)),"-")</f>
        <v>D</v>
      </c>
      <c r="J18">
        <v>260</v>
      </c>
      <c r="K18"/>
      <c r="L18" s="4">
        <v>46259</v>
      </c>
      <c r="M18" s="4">
        <v>46259</v>
      </c>
      <c r="N18">
        <v>2026</v>
      </c>
      <c r="O18" s="4">
        <v>46023</v>
      </c>
      <c r="P18" t="s">
        <v>217</v>
      </c>
      <c r="Q18" s="18">
        <f t="shared" si="0"/>
        <v>46023</v>
      </c>
      <c r="R18" s="18">
        <f>IFERROR(IF(M18&lt;&gt;"",M18,IF(L18&lt;&gt;"",L18,INDEX('CSM RDD'!B:B,MATCH(B18,'CSM RDD'!A:A,0)))),"-")</f>
        <v>46259</v>
      </c>
      <c r="S18" s="18">
        <f t="shared" si="4"/>
        <v>46023</v>
      </c>
      <c r="T18" s="18">
        <f t="shared" si="5"/>
        <v>46235</v>
      </c>
      <c r="U18" s="6">
        <f t="shared" si="1"/>
        <v>260</v>
      </c>
      <c r="V18" s="18">
        <f t="shared" si="2"/>
        <v>46082</v>
      </c>
      <c r="W18">
        <f>IF(U18=0,1,IF(U18&lt;='Demand Base Matrix'!$K$3,'Demand Base Matrix'!$L$3,IF(U18&lt;='Demand Base Matrix'!$K$4,'Demand Base Matrix'!$L$4,IF(U18&lt;='Demand Base Matrix'!$K$5,'Demand Base Matrix'!$L$5,IF(U18&lt;='Demand Base Matrix'!$K$6,'Demand Base Matrix'!$L$6,IF(U18&lt;='Demand Base Matrix'!$K$7,'Demand Base Matrix'!$L$7))))))</f>
        <v>0.75</v>
      </c>
      <c r="X18" s="4">
        <f t="shared" si="6"/>
        <v>46235</v>
      </c>
      <c r="Y18" t="str">
        <f t="shared" si="3"/>
        <v>Dx</v>
      </c>
      <c r="Z18" t="s">
        <v>685</v>
      </c>
      <c r="AA18" t="s">
        <v>685</v>
      </c>
      <c r="AB18" t="s">
        <v>685</v>
      </c>
      <c r="AC18">
        <f>IFERROR(INDEX('Demand Base Matrix'!AM:AM,MATCH(Y18,'Demand Base Matrix'!AL:AL,0)),"-")</f>
        <v>1</v>
      </c>
      <c r="AD18">
        <f>IFERROR(INDEX('Demand Base Matrix'!AO:AO,MATCH(Z18,'Demand Base Matrix'!AN:AN,0)),1)</f>
        <v>1</v>
      </c>
      <c r="AE18">
        <f>IFERROR(INDEX('Demand Base Matrix'!AQ:AQ,MATCH(AA18,'Demand Base Matrix'!AP:AP,0)),1)</f>
        <v>1</v>
      </c>
      <c r="AF18">
        <f>IFERROR(INDEX('Demand Base Matrix'!AS:AS,MATCH(AB18,'Demand Base Matrix'!AR:AR,0)),1)</f>
        <v>1</v>
      </c>
      <c r="AG18">
        <f>IF($C18="Validate",(('Demand Base Matrix'!D$2+'Demand Base Matrix'!D$6)*$AC$2*$AD$2*$AE$2+('Demand Base Matrix'!D$3+'Demand Base Matrix'!D$4)*$W$2*$AD$2+'Demand Base Matrix'!D$5*$W$2*$AD$2*$AE$2+'Demand Base Matrix'!D$7+'Demand Base Matrix'!D$8*$AF$2),IF($C18="Integrate",(('Demand Base Matrix'!D$28+'Demand Base Matrix'!D$32)*$AC$2*$AD$2*$AE$2+('Demand Base Matrix'!D$29+'Demand Base Matrix'!D$30)*$W$2*$AD$2+'Demand Base Matrix'!D$31*$W$2*$AD$2*$AE$2+'Demand Base Matrix'!D$33+'Demand Base Matrix'!D$34*$AF$2),IF($C18="Bond",(('Demand Base Matrix'!D$55+'Demand Base Matrix'!D$59)*$AC$2*$AD$2*$AE$2+('Demand Base Matrix'!D$56+'Demand Base Matrix'!D$57)*$W$2*$AD$2+'Demand Base Matrix'!D$58*$W$2*$AD$2*$AE$2+'Demand Base Matrix'!D$60+'Demand Base Matrix'!D$61*$AF$2),IF($C18="Explore",('Demand Base Matrix'!D$82*$AC$2*$AD$2*$AE$2*$AF$2+'Demand Base Matrix'!D$83*$W$2*$AC$2*$AD$2*$AE$2*$AF$2+'Demand Base Matrix'!D$84)))))</f>
        <v>10</v>
      </c>
      <c r="AH18">
        <f>IF($C18="Validate",(('Demand Base Matrix'!E$2+'Demand Base Matrix'!E$6)*$AC$2*$AD$2*$AE$2+('Demand Base Matrix'!E$3+'Demand Base Matrix'!E$4)*$W$2*$AD$2+'Demand Base Matrix'!E$5*$W$2*$AD$2*$AE$2+'Demand Base Matrix'!E$7+'Demand Base Matrix'!E$8*$AF$2),IF($C18="Integrate",(('Demand Base Matrix'!E$28+'Demand Base Matrix'!E$32)*$AC$2*$AD$2*$AE$2+('Demand Base Matrix'!E$29+'Demand Base Matrix'!E$30)*$W$2*$AD$2+'Demand Base Matrix'!E$31*$W$2*$AD$2*$AE$2+'Demand Base Matrix'!E$33+'Demand Base Matrix'!E$34*$AF$2),IF($C18="Bond",(('Demand Base Matrix'!E$55+'Demand Base Matrix'!E$59)*$AC$2*$AD$2*$AE$2+('Demand Base Matrix'!E$56+'Demand Base Matrix'!E$57)*$W$2*$AD$2+'Demand Base Matrix'!E$58*$W$2*$AD$2*$AE$2+'Demand Base Matrix'!E$60+'Demand Base Matrix'!E$61*$AF$2),IF($C18="Explore",('Demand Base Matrix'!E$82*$AC$2*$AD$2*$AE$2*$AF$2+'Demand Base Matrix'!E$83*$W$2*$AC$2*$AD$2*$AE$2*$AF$2+'Demand Base Matrix'!E$84)))))</f>
        <v>10</v>
      </c>
      <c r="AI18">
        <f>IF($C18="Validate",(('Demand Base Matrix'!F$2+'Demand Base Matrix'!F$6)*$AC$2*$AD$2*$AE$2+('Demand Base Matrix'!F$3+'Demand Base Matrix'!F$4)*$W$2*$AD$2+'Demand Base Matrix'!F$5*$W$2*$AD$2*$AE$2+'Demand Base Matrix'!F$7+'Demand Base Matrix'!F$8*$AF$2),IF($C18="Integrate",(('Demand Base Matrix'!F$28+'Demand Base Matrix'!F$32)*$AC$2*$AD$2*$AE$2+('Demand Base Matrix'!F$29+'Demand Base Matrix'!F$30)*$W$2*$AD$2+'Demand Base Matrix'!F$31*$W$2*$AD$2*$AE$2+'Demand Base Matrix'!F$33+'Demand Base Matrix'!F$34*$AF$2),IF($C18="Bond",(('Demand Base Matrix'!F$55+'Demand Base Matrix'!F$59)*$AC$2*$AD$2*$AE$2+('Demand Base Matrix'!F$56+'Demand Base Matrix'!F$57)*$W$2*$AD$2+'Demand Base Matrix'!F$58*$W$2*$AD$2*$AE$2+'Demand Base Matrix'!F$60+'Demand Base Matrix'!F$61*$AF$2),IF($C18="Explore",('Demand Base Matrix'!F$82*$AC$2*$AD$2*$AE$2*$AF$2+'Demand Base Matrix'!F$83*$W$2*$AC$2*$AD$2*$AE$2*$AF$2+'Demand Base Matrix'!F$84)))))</f>
        <v>10</v>
      </c>
      <c r="AJ18">
        <f>IF($C18="Validate",(('Demand Base Matrix'!G$2+'Demand Base Matrix'!G$6)*$AC$2*$AD$2*$AE$2+('Demand Base Matrix'!G$3+'Demand Base Matrix'!G$4)*$W$2*$AD$2+'Demand Base Matrix'!G$5*$W$2*$AD$2*$AE$2+'Demand Base Matrix'!G$7+'Demand Base Matrix'!G$8*$AF$2),IF($C18="Integrate",(('Demand Base Matrix'!G$28+'Demand Base Matrix'!G$32)*$AC$2*$AD$2*$AE$2+('Demand Base Matrix'!G$29+'Demand Base Matrix'!G$30)*$W$2*$AD$2+'Demand Base Matrix'!G$31*$W$2*$AD$2*$AE$2+'Demand Base Matrix'!G$33+'Demand Base Matrix'!G$34*$AF$2),IF($C18="Bond",(('Demand Base Matrix'!G$55+'Demand Base Matrix'!G$59)*$AC$2*$AD$2*$AE$2+('Demand Base Matrix'!G$56+'Demand Base Matrix'!G$57)*$W$2*$AD$2+'Demand Base Matrix'!G$58*$W$2*$AD$2*$AE$2+'Demand Base Matrix'!G$60+'Demand Base Matrix'!G$61*$AF$2),IF($C18="Explore",('Demand Base Matrix'!G$82*$AC$2*$AD$2*$AE$2*$AF$2+'Demand Base Matrix'!G$83*$W$2*$AC$2*$AD$2*$AE$2*$AF$2+'Demand Base Matrix'!G$84)))))</f>
        <v>50</v>
      </c>
      <c r="AK18">
        <f>IF($C18="Validate",(('Demand Base Matrix'!H$2+'Demand Base Matrix'!H$6)*$AC$2*$AD$2*$AE$2+('Demand Base Matrix'!H$3+'Demand Base Matrix'!H$4)*$W$2*$AD$2+'Demand Base Matrix'!H$5*$W$2*$AD$2*$AE$2+'Demand Base Matrix'!H$7+'Demand Base Matrix'!H$8*$AF$2),IF($C18="Integrate",(('Demand Base Matrix'!H$28+'Demand Base Matrix'!H$32)*$AC$2*$AD$2*$AE$2+('Demand Base Matrix'!H$29+'Demand Base Matrix'!H$30)*$W$2*$AD$2+'Demand Base Matrix'!H$31*$W$2*$AD$2*$AE$2+'Demand Base Matrix'!H$33+'Demand Base Matrix'!H$34*$AF$2),IF($C18="Bond",(('Demand Base Matrix'!H$55+'Demand Base Matrix'!H$59)*$AC$2*$AD$2*$AE$2+('Demand Base Matrix'!H$56+'Demand Base Matrix'!H$57)*$W$2*$AD$2+'Demand Base Matrix'!H$58*$W$2*$AD$2*$AE$2+'Demand Base Matrix'!H$60+'Demand Base Matrix'!H$61*$AF$2),IF($C18="Explore",('Demand Base Matrix'!H$82*$AC$2*$AD$2*$AE$2*$AF$2+'Demand Base Matrix'!H$83*$W$2*$AC$2*$AD$2*$AE$2*$AF$2+'Demand Base Matrix'!H$84)))))</f>
        <v>28</v>
      </c>
      <c r="AL18">
        <f>IF($C18="Validate",(('Demand Base Matrix'!I$2+'Demand Base Matrix'!I$6)*$AC$2*$AD$2*$AE$2+('Demand Base Matrix'!I$3+'Demand Base Matrix'!I$4)*$W$2*$AD$2+'Demand Base Matrix'!I$5*$W$2*$AD$2*$AE$2+'Demand Base Matrix'!I$7+'Demand Base Matrix'!I$8*$AF$2),IF($C18="Integrate",(('Demand Base Matrix'!I$28+'Demand Base Matrix'!I$32)*$AC$2*$AD$2*$AE$2+('Demand Base Matrix'!I$29+'Demand Base Matrix'!I$30)*$W$2*$AD$2+'Demand Base Matrix'!I$31*$W$2*$AD$2*$AE$2+'Demand Base Matrix'!I$33+'Demand Base Matrix'!I$34*$AF$2),IF($C18="Bond",(('Demand Base Matrix'!I$55+'Demand Base Matrix'!I$59)*$AC$2*$AD$2*$AE$2+('Demand Base Matrix'!I$56+'Demand Base Matrix'!I$57)*$W$2*$AD$2+'Demand Base Matrix'!I$58*$W$2*$AD$2*$AE$2+'Demand Base Matrix'!I$60+'Demand Base Matrix'!I$61*$AF$2),IF($C18="Explore",('Demand Base Matrix'!I$82*$AC$2*$AD$2*$AE$2*$AF$2+'Demand Base Matrix'!I$83*$W$2*$AC$2*$AD$2*$AE$2*$AF$2+'Demand Base Matrix'!I$84)))))</f>
        <v>8</v>
      </c>
      <c r="AM18">
        <f>IF($C18="Validate",(('Demand Base Matrix'!J$2+'Demand Base Matrix'!J$6)*$AC$2*$AD$2*$AE$2+('Demand Base Matrix'!J$3+'Demand Base Matrix'!J$4)*$W$2*$AD$2+'Demand Base Matrix'!J$5*$W$2*$AD$2*$AE$2+'Demand Base Matrix'!J$7+'Demand Base Matrix'!J$8*$AF$2),IF($C18="Integrate",(('Demand Base Matrix'!J$28+'Demand Base Matrix'!J$32)*$AC$2*$AD$2*$AE$2+('Demand Base Matrix'!J$29+'Demand Base Matrix'!J$30)*$W$2*$AD$2+'Demand Base Matrix'!J$31*$W$2*$AD$2*$AE$2+'Demand Base Matrix'!J$33+'Demand Base Matrix'!J$34*$AF$2),IF($C18="Bond",(('Demand Base Matrix'!J$55+'Demand Base Matrix'!J$59)*$AC$2*$AD$2*$AE$2+('Demand Base Matrix'!J$56+'Demand Base Matrix'!J$57)*$W$2*$AD$2+'Demand Base Matrix'!J$58*$W$2*$AD$2*$AE$2+'Demand Base Matrix'!J$60+'Demand Base Matrix'!J$61*$AF$2),IF($C18="Explore",('Demand Base Matrix'!J$82*$AC$2*$AD$2*$AE$2*$AF$2+'Demand Base Matrix'!J$83*$W$2*$AC$2*$AD$2*$AE$2*$AF$2+'Demand Base Matrix'!J$84)))))</f>
        <v>8</v>
      </c>
      <c r="AP18" s="5"/>
      <c r="AQ18" s="5"/>
      <c r="AR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</row>
    <row r="19" spans="1:95" x14ac:dyDescent="0.2">
      <c r="A19" t="s">
        <v>733</v>
      </c>
      <c r="B19" t="s">
        <v>46</v>
      </c>
      <c r="C19" t="s">
        <v>23</v>
      </c>
      <c r="D19" t="s">
        <v>178</v>
      </c>
      <c r="E19" t="s">
        <v>117</v>
      </c>
      <c r="F19" t="s">
        <v>185</v>
      </c>
      <c r="I19" t="str">
        <f>IFERROR(INDEX('Customer 360'!F:F,MATCH(B19,'Customer 360'!A:A,0)),"-")</f>
        <v>D</v>
      </c>
      <c r="J19">
        <v>1148</v>
      </c>
      <c r="K19">
        <v>283</v>
      </c>
      <c r="L19" s="4">
        <v>46240</v>
      </c>
      <c r="M19" s="4">
        <v>46240</v>
      </c>
      <c r="N19">
        <v>2026</v>
      </c>
      <c r="O19" s="4">
        <v>46023</v>
      </c>
      <c r="P19" t="s">
        <v>217</v>
      </c>
      <c r="Q19" s="18">
        <f t="shared" si="0"/>
        <v>46023</v>
      </c>
      <c r="R19" s="18">
        <f>IFERROR(IF(M19&lt;&gt;"",M19,IF(L19&lt;&gt;"",L19,INDEX('CSM RDD'!B:B,MATCH(B19,'CSM RDD'!A:A,0)))),"-")</f>
        <v>46240</v>
      </c>
      <c r="S19" s="18">
        <f t="shared" si="4"/>
        <v>46023</v>
      </c>
      <c r="T19" s="18">
        <f t="shared" si="5"/>
        <v>46235</v>
      </c>
      <c r="U19" s="6">
        <f t="shared" si="1"/>
        <v>1431</v>
      </c>
      <c r="V19" s="18">
        <f t="shared" si="2"/>
        <v>46082</v>
      </c>
      <c r="W19">
        <f>IF(U19=0,1,IF(U19&lt;='Demand Base Matrix'!$K$3,'Demand Base Matrix'!$L$3,IF(U19&lt;='Demand Base Matrix'!$K$4,'Demand Base Matrix'!$L$4,IF(U19&lt;='Demand Base Matrix'!$K$5,'Demand Base Matrix'!$L$5,IF(U19&lt;='Demand Base Matrix'!$K$6,'Demand Base Matrix'!$L$6,IF(U19&lt;='Demand Base Matrix'!$K$7,'Demand Base Matrix'!$L$7))))))</f>
        <v>1</v>
      </c>
      <c r="X19" s="4">
        <f t="shared" si="6"/>
        <v>46235</v>
      </c>
      <c r="Y19" t="str">
        <f t="shared" si="3"/>
        <v>Tx</v>
      </c>
      <c r="Z19" t="s">
        <v>685</v>
      </c>
      <c r="AA19" t="s">
        <v>684</v>
      </c>
      <c r="AB19" t="s">
        <v>685</v>
      </c>
      <c r="AC19">
        <f>IFERROR(INDEX('Demand Base Matrix'!AM:AM,MATCH(Y19,'Demand Base Matrix'!AL:AL,0)),"-")</f>
        <v>1.5</v>
      </c>
      <c r="AD19">
        <f>IFERROR(INDEX('Demand Base Matrix'!AO:AO,MATCH(Z19,'Demand Base Matrix'!AN:AN,0)),1)</f>
        <v>1</v>
      </c>
      <c r="AE19">
        <f>IFERROR(INDEX('Demand Base Matrix'!AQ:AQ,MATCH(AA19,'Demand Base Matrix'!AP:AP,0)),1)</f>
        <v>1.5</v>
      </c>
      <c r="AF19">
        <f>IFERROR(INDEX('Demand Base Matrix'!AS:AS,MATCH(AB19,'Demand Base Matrix'!AR:AR,0)),1)</f>
        <v>1</v>
      </c>
      <c r="AG19">
        <f>IF($C19="Validate",(('Demand Base Matrix'!D$2+'Demand Base Matrix'!D$6)*$AC$2*$AD$2*$AE$2+('Demand Base Matrix'!D$3+'Demand Base Matrix'!D$4)*$W$2*$AD$2+'Demand Base Matrix'!D$5*$W$2*$AD$2*$AE$2+'Demand Base Matrix'!D$7+'Demand Base Matrix'!D$8*$AF$2),IF($C19="Integrate",(('Demand Base Matrix'!D$28+'Demand Base Matrix'!D$32)*$AC$2*$AD$2*$AE$2+('Demand Base Matrix'!D$29+'Demand Base Matrix'!D$30)*$W$2*$AD$2+'Demand Base Matrix'!D$31*$W$2*$AD$2*$AE$2+'Demand Base Matrix'!D$33+'Demand Base Matrix'!D$34*$AF$2),IF($C19="Bond",(('Demand Base Matrix'!D$55+'Demand Base Matrix'!D$59)*$AC$2*$AD$2*$AE$2+('Demand Base Matrix'!D$56+'Demand Base Matrix'!D$57)*$W$2*$AD$2+'Demand Base Matrix'!D$58*$W$2*$AD$2*$AE$2+'Demand Base Matrix'!D$60+'Demand Base Matrix'!D$61*$AF$2),IF($C19="Explore",('Demand Base Matrix'!D$82*$AC$2*$AD$2*$AE$2*$AF$2+'Demand Base Matrix'!D$83*$W$2*$AC$2*$AD$2*$AE$2*$AF$2+'Demand Base Matrix'!D$84)))))</f>
        <v>10</v>
      </c>
      <c r="AH19">
        <f>IF($C19="Validate",(('Demand Base Matrix'!E$2+'Demand Base Matrix'!E$6)*$AC$2*$AD$2*$AE$2+('Demand Base Matrix'!E$3+'Demand Base Matrix'!E$4)*$W$2*$AD$2+'Demand Base Matrix'!E$5*$W$2*$AD$2*$AE$2+'Demand Base Matrix'!E$7+'Demand Base Matrix'!E$8*$AF$2),IF($C19="Integrate",(('Demand Base Matrix'!E$28+'Demand Base Matrix'!E$32)*$AC$2*$AD$2*$AE$2+('Demand Base Matrix'!E$29+'Demand Base Matrix'!E$30)*$W$2*$AD$2+'Demand Base Matrix'!E$31*$W$2*$AD$2*$AE$2+'Demand Base Matrix'!E$33+'Demand Base Matrix'!E$34*$AF$2),IF($C19="Bond",(('Demand Base Matrix'!E$55+'Demand Base Matrix'!E$59)*$AC$2*$AD$2*$AE$2+('Demand Base Matrix'!E$56+'Demand Base Matrix'!E$57)*$W$2*$AD$2+'Demand Base Matrix'!E$58*$W$2*$AD$2*$AE$2+'Demand Base Matrix'!E$60+'Demand Base Matrix'!E$61*$AF$2),IF($C19="Explore",('Demand Base Matrix'!E$82*$AC$2*$AD$2*$AE$2*$AF$2+'Demand Base Matrix'!E$83*$W$2*$AC$2*$AD$2*$AE$2*$AF$2+'Demand Base Matrix'!E$84)))))</f>
        <v>10</v>
      </c>
      <c r="AI19">
        <f>IF($C19="Validate",(('Demand Base Matrix'!F$2+'Demand Base Matrix'!F$6)*$AC$2*$AD$2*$AE$2+('Demand Base Matrix'!F$3+'Demand Base Matrix'!F$4)*$W$2*$AD$2+'Demand Base Matrix'!F$5*$W$2*$AD$2*$AE$2+'Demand Base Matrix'!F$7+'Demand Base Matrix'!F$8*$AF$2),IF($C19="Integrate",(('Demand Base Matrix'!F$28+'Demand Base Matrix'!F$32)*$AC$2*$AD$2*$AE$2+('Demand Base Matrix'!F$29+'Demand Base Matrix'!F$30)*$W$2*$AD$2+'Demand Base Matrix'!F$31*$W$2*$AD$2*$AE$2+'Demand Base Matrix'!F$33+'Demand Base Matrix'!F$34*$AF$2),IF($C19="Bond",(('Demand Base Matrix'!F$55+'Demand Base Matrix'!F$59)*$AC$2*$AD$2*$AE$2+('Demand Base Matrix'!F$56+'Demand Base Matrix'!F$57)*$W$2*$AD$2+'Demand Base Matrix'!F$58*$W$2*$AD$2*$AE$2+'Demand Base Matrix'!F$60+'Demand Base Matrix'!F$61*$AF$2),IF($C19="Explore",('Demand Base Matrix'!F$82*$AC$2*$AD$2*$AE$2*$AF$2+'Demand Base Matrix'!F$83*$W$2*$AC$2*$AD$2*$AE$2*$AF$2+'Demand Base Matrix'!F$84)))))</f>
        <v>10</v>
      </c>
      <c r="AJ19">
        <f>IF($C19="Validate",(('Demand Base Matrix'!G$2+'Demand Base Matrix'!G$6)*$AC$2*$AD$2*$AE$2+('Demand Base Matrix'!G$3+'Demand Base Matrix'!G$4)*$W$2*$AD$2+'Demand Base Matrix'!G$5*$W$2*$AD$2*$AE$2+'Demand Base Matrix'!G$7+'Demand Base Matrix'!G$8*$AF$2),IF($C19="Integrate",(('Demand Base Matrix'!G$28+'Demand Base Matrix'!G$32)*$AC$2*$AD$2*$AE$2+('Demand Base Matrix'!G$29+'Demand Base Matrix'!G$30)*$W$2*$AD$2+'Demand Base Matrix'!G$31*$W$2*$AD$2*$AE$2+'Demand Base Matrix'!G$33+'Demand Base Matrix'!G$34*$AF$2),IF($C19="Bond",(('Demand Base Matrix'!G$55+'Demand Base Matrix'!G$59)*$AC$2*$AD$2*$AE$2+('Demand Base Matrix'!G$56+'Demand Base Matrix'!G$57)*$W$2*$AD$2+'Demand Base Matrix'!G$58*$W$2*$AD$2*$AE$2+'Demand Base Matrix'!G$60+'Demand Base Matrix'!G$61*$AF$2),IF($C19="Explore",('Demand Base Matrix'!G$82*$AC$2*$AD$2*$AE$2*$AF$2+'Demand Base Matrix'!G$83*$W$2*$AC$2*$AD$2*$AE$2*$AF$2+'Demand Base Matrix'!G$84)))))</f>
        <v>50</v>
      </c>
      <c r="AK19">
        <f>IF($C19="Validate",(('Demand Base Matrix'!H$2+'Demand Base Matrix'!H$6)*$AC$2*$AD$2*$AE$2+('Demand Base Matrix'!H$3+'Demand Base Matrix'!H$4)*$W$2*$AD$2+'Demand Base Matrix'!H$5*$W$2*$AD$2*$AE$2+'Demand Base Matrix'!H$7+'Demand Base Matrix'!H$8*$AF$2),IF($C19="Integrate",(('Demand Base Matrix'!H$28+'Demand Base Matrix'!H$32)*$AC$2*$AD$2*$AE$2+('Demand Base Matrix'!H$29+'Demand Base Matrix'!H$30)*$W$2*$AD$2+'Demand Base Matrix'!H$31*$W$2*$AD$2*$AE$2+'Demand Base Matrix'!H$33+'Demand Base Matrix'!H$34*$AF$2),IF($C19="Bond",(('Demand Base Matrix'!H$55+'Demand Base Matrix'!H$59)*$AC$2*$AD$2*$AE$2+('Demand Base Matrix'!H$56+'Demand Base Matrix'!H$57)*$W$2*$AD$2+'Demand Base Matrix'!H$58*$W$2*$AD$2*$AE$2+'Demand Base Matrix'!H$60+'Demand Base Matrix'!H$61*$AF$2),IF($C19="Explore",('Demand Base Matrix'!H$82*$AC$2*$AD$2*$AE$2*$AF$2+'Demand Base Matrix'!H$83*$W$2*$AC$2*$AD$2*$AE$2*$AF$2+'Demand Base Matrix'!H$84)))))</f>
        <v>28</v>
      </c>
      <c r="AL19">
        <f>IF($C19="Validate",(('Demand Base Matrix'!I$2+'Demand Base Matrix'!I$6)*$AC$2*$AD$2*$AE$2+('Demand Base Matrix'!I$3+'Demand Base Matrix'!I$4)*$W$2*$AD$2+'Demand Base Matrix'!I$5*$W$2*$AD$2*$AE$2+'Demand Base Matrix'!I$7+'Demand Base Matrix'!I$8*$AF$2),IF($C19="Integrate",(('Demand Base Matrix'!I$28+'Demand Base Matrix'!I$32)*$AC$2*$AD$2*$AE$2+('Demand Base Matrix'!I$29+'Demand Base Matrix'!I$30)*$W$2*$AD$2+'Demand Base Matrix'!I$31*$W$2*$AD$2*$AE$2+'Demand Base Matrix'!I$33+'Demand Base Matrix'!I$34*$AF$2),IF($C19="Bond",(('Demand Base Matrix'!I$55+'Demand Base Matrix'!I$59)*$AC$2*$AD$2*$AE$2+('Demand Base Matrix'!I$56+'Demand Base Matrix'!I$57)*$W$2*$AD$2+'Demand Base Matrix'!I$58*$W$2*$AD$2*$AE$2+'Demand Base Matrix'!I$60+'Demand Base Matrix'!I$61*$AF$2),IF($C19="Explore",('Demand Base Matrix'!I$82*$AC$2*$AD$2*$AE$2*$AF$2+'Demand Base Matrix'!I$83*$W$2*$AC$2*$AD$2*$AE$2*$AF$2+'Demand Base Matrix'!I$84)))))</f>
        <v>8</v>
      </c>
      <c r="AM19">
        <f>IF($C19="Validate",(('Demand Base Matrix'!J$2+'Demand Base Matrix'!J$6)*$AC$2*$AD$2*$AE$2+('Demand Base Matrix'!J$3+'Demand Base Matrix'!J$4)*$W$2*$AD$2+'Demand Base Matrix'!J$5*$W$2*$AD$2*$AE$2+'Demand Base Matrix'!J$7+'Demand Base Matrix'!J$8*$AF$2),IF($C19="Integrate",(('Demand Base Matrix'!J$28+'Demand Base Matrix'!J$32)*$AC$2*$AD$2*$AE$2+('Demand Base Matrix'!J$29+'Demand Base Matrix'!J$30)*$W$2*$AD$2+'Demand Base Matrix'!J$31*$W$2*$AD$2*$AE$2+'Demand Base Matrix'!J$33+'Demand Base Matrix'!J$34*$AF$2),IF($C19="Bond",(('Demand Base Matrix'!J$55+'Demand Base Matrix'!J$59)*$AC$2*$AD$2*$AE$2+('Demand Base Matrix'!J$56+'Demand Base Matrix'!J$57)*$W$2*$AD$2+'Demand Base Matrix'!J$58*$W$2*$AD$2*$AE$2+'Demand Base Matrix'!J$60+'Demand Base Matrix'!J$61*$AF$2),IF($C19="Explore",('Demand Base Matrix'!J$82*$AC$2*$AD$2*$AE$2*$AF$2+'Demand Base Matrix'!J$83*$W$2*$AC$2*$AD$2*$AE$2*$AF$2+'Demand Base Matrix'!J$84)))))</f>
        <v>8</v>
      </c>
      <c r="AP19" s="5"/>
      <c r="AQ19" s="5"/>
      <c r="AR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</row>
    <row r="20" spans="1:95" s="41" customFormat="1" ht="21" customHeight="1" x14ac:dyDescent="0.2">
      <c r="A20" t="s">
        <v>734</v>
      </c>
      <c r="B20" t="s">
        <v>48</v>
      </c>
      <c r="C20" t="s">
        <v>23</v>
      </c>
      <c r="D20" t="s">
        <v>36</v>
      </c>
      <c r="E20" t="s">
        <v>222</v>
      </c>
      <c r="F20" t="s">
        <v>21</v>
      </c>
      <c r="H20"/>
      <c r="I20" t="str">
        <f>IFERROR(INDEX('Customer 360'!F:F,MATCH(B20,'Customer 360'!A:A,0)),"-")</f>
        <v>C</v>
      </c>
      <c r="J20">
        <v>2002</v>
      </c>
      <c r="K20"/>
      <c r="L20" s="4">
        <v>46280</v>
      </c>
      <c r="M20" s="4">
        <v>46280</v>
      </c>
      <c r="N20">
        <v>2026</v>
      </c>
      <c r="O20" s="4">
        <v>46023</v>
      </c>
      <c r="P20" t="s">
        <v>217</v>
      </c>
      <c r="Q20" s="18">
        <f t="shared" si="0"/>
        <v>46023</v>
      </c>
      <c r="R20" s="18">
        <f>IFERROR(IF(M20&lt;&gt;"",M20,IF(L20&lt;&gt;"",L20,INDEX('CSM RDD'!B:B,MATCH(B20,'CSM RDD'!A:A,0)))),"-")</f>
        <v>46280</v>
      </c>
      <c r="S20" s="18">
        <f t="shared" si="4"/>
        <v>46023</v>
      </c>
      <c r="T20" s="18">
        <f t="shared" si="5"/>
        <v>46266</v>
      </c>
      <c r="U20" s="6">
        <f t="shared" si="1"/>
        <v>2002</v>
      </c>
      <c r="V20" s="18">
        <f t="shared" si="2"/>
        <v>46082</v>
      </c>
      <c r="W20">
        <f>IF(U20=0,1,IF(U20&lt;='Demand Base Matrix'!$K$3,'Demand Base Matrix'!$L$3,IF(U20&lt;='Demand Base Matrix'!$K$4,'Demand Base Matrix'!$L$4,IF(U20&lt;='Demand Base Matrix'!$K$5,'Demand Base Matrix'!$L$5,IF(U20&lt;='Demand Base Matrix'!$K$6,'Demand Base Matrix'!$L$6,IF(U20&lt;='Demand Base Matrix'!$K$7,'Demand Base Matrix'!$L$7))))))</f>
        <v>1</v>
      </c>
      <c r="X20" s="4">
        <f t="shared" si="6"/>
        <v>46266</v>
      </c>
      <c r="Y20" t="str">
        <f t="shared" si="3"/>
        <v>Dx</v>
      </c>
      <c r="Z20" t="s">
        <v>685</v>
      </c>
      <c r="AA20" t="s">
        <v>685</v>
      </c>
      <c r="AB20" t="s">
        <v>685</v>
      </c>
      <c r="AC20">
        <f>IFERROR(INDEX('Demand Base Matrix'!AM:AM,MATCH(Y20,'Demand Base Matrix'!AL:AL,0)),"-")</f>
        <v>1</v>
      </c>
      <c r="AD20">
        <f>IFERROR(INDEX('Demand Base Matrix'!AO:AO,MATCH(Z20,'Demand Base Matrix'!AN:AN,0)),1)</f>
        <v>1</v>
      </c>
      <c r="AE20">
        <f>IFERROR(INDEX('Demand Base Matrix'!AQ:AQ,MATCH(AA20,'Demand Base Matrix'!AP:AP,0)),1)</f>
        <v>1</v>
      </c>
      <c r="AF20">
        <f>IFERROR(INDEX('Demand Base Matrix'!AS:AS,MATCH(AB20,'Demand Base Matrix'!AR:AR,0)),1)</f>
        <v>1</v>
      </c>
      <c r="AG20">
        <f>IF($C20="Validate",(('Demand Base Matrix'!D$2+'Demand Base Matrix'!D$6)*$AC$2*$AD$2*$AE$2+('Demand Base Matrix'!D$3+'Demand Base Matrix'!D$4)*$W$2*$AD$2+'Demand Base Matrix'!D$5*$W$2*$AD$2*$AE$2+'Demand Base Matrix'!D$7+'Demand Base Matrix'!D$8*$AF$2),IF($C20="Integrate",(('Demand Base Matrix'!D$28+'Demand Base Matrix'!D$32)*$AC$2*$AD$2*$AE$2+('Demand Base Matrix'!D$29+'Demand Base Matrix'!D$30)*$W$2*$AD$2+'Demand Base Matrix'!D$31*$W$2*$AD$2*$AE$2+'Demand Base Matrix'!D$33+'Demand Base Matrix'!D$34*$AF$2),IF($C20="Bond",(('Demand Base Matrix'!D$55+'Demand Base Matrix'!D$59)*$AC$2*$AD$2*$AE$2+('Demand Base Matrix'!D$56+'Demand Base Matrix'!D$57)*$W$2*$AD$2+'Demand Base Matrix'!D$58*$W$2*$AD$2*$AE$2+'Demand Base Matrix'!D$60+'Demand Base Matrix'!D$61*$AF$2),IF($C20="Explore",('Demand Base Matrix'!D$82*$AC$2*$AD$2*$AE$2*$AF$2+'Demand Base Matrix'!D$83*$W$2*$AC$2*$AD$2*$AE$2*$AF$2+'Demand Base Matrix'!D$84)))))</f>
        <v>10</v>
      </c>
      <c r="AH20">
        <f>IF($C20="Validate",(('Demand Base Matrix'!E$2+'Demand Base Matrix'!E$6)*$AC$2*$AD$2*$AE$2+('Demand Base Matrix'!E$3+'Demand Base Matrix'!E$4)*$W$2*$AD$2+'Demand Base Matrix'!E$5*$W$2*$AD$2*$AE$2+'Demand Base Matrix'!E$7+'Demand Base Matrix'!E$8*$AF$2),IF($C20="Integrate",(('Demand Base Matrix'!E$28+'Demand Base Matrix'!E$32)*$AC$2*$AD$2*$AE$2+('Demand Base Matrix'!E$29+'Demand Base Matrix'!E$30)*$W$2*$AD$2+'Demand Base Matrix'!E$31*$W$2*$AD$2*$AE$2+'Demand Base Matrix'!E$33+'Demand Base Matrix'!E$34*$AF$2),IF($C20="Bond",(('Demand Base Matrix'!E$55+'Demand Base Matrix'!E$59)*$AC$2*$AD$2*$AE$2+('Demand Base Matrix'!E$56+'Demand Base Matrix'!E$57)*$W$2*$AD$2+'Demand Base Matrix'!E$58*$W$2*$AD$2*$AE$2+'Demand Base Matrix'!E$60+'Demand Base Matrix'!E$61*$AF$2),IF($C20="Explore",('Demand Base Matrix'!E$82*$AC$2*$AD$2*$AE$2*$AF$2+'Demand Base Matrix'!E$83*$W$2*$AC$2*$AD$2*$AE$2*$AF$2+'Demand Base Matrix'!E$84)))))</f>
        <v>10</v>
      </c>
      <c r="AI20">
        <f>IF($C20="Validate",(('Demand Base Matrix'!F$2+'Demand Base Matrix'!F$6)*$AC$2*$AD$2*$AE$2+('Demand Base Matrix'!F$3+'Demand Base Matrix'!F$4)*$W$2*$AD$2+'Demand Base Matrix'!F$5*$W$2*$AD$2*$AE$2+'Demand Base Matrix'!F$7+'Demand Base Matrix'!F$8*$AF$2),IF($C20="Integrate",(('Demand Base Matrix'!F$28+'Demand Base Matrix'!F$32)*$AC$2*$AD$2*$AE$2+('Demand Base Matrix'!F$29+'Demand Base Matrix'!F$30)*$W$2*$AD$2+'Demand Base Matrix'!F$31*$W$2*$AD$2*$AE$2+'Demand Base Matrix'!F$33+'Demand Base Matrix'!F$34*$AF$2),IF($C20="Bond",(('Demand Base Matrix'!F$55+'Demand Base Matrix'!F$59)*$AC$2*$AD$2*$AE$2+('Demand Base Matrix'!F$56+'Demand Base Matrix'!F$57)*$W$2*$AD$2+'Demand Base Matrix'!F$58*$W$2*$AD$2*$AE$2+'Demand Base Matrix'!F$60+'Demand Base Matrix'!F$61*$AF$2),IF($C20="Explore",('Demand Base Matrix'!F$82*$AC$2*$AD$2*$AE$2*$AF$2+'Demand Base Matrix'!F$83*$W$2*$AC$2*$AD$2*$AE$2*$AF$2+'Demand Base Matrix'!F$84)))))</f>
        <v>10</v>
      </c>
      <c r="AJ20">
        <f>IF($C20="Validate",(('Demand Base Matrix'!G$2+'Demand Base Matrix'!G$6)*$AC$2*$AD$2*$AE$2+('Demand Base Matrix'!G$3+'Demand Base Matrix'!G$4)*$W$2*$AD$2+'Demand Base Matrix'!G$5*$W$2*$AD$2*$AE$2+'Demand Base Matrix'!G$7+'Demand Base Matrix'!G$8*$AF$2),IF($C20="Integrate",(('Demand Base Matrix'!G$28+'Demand Base Matrix'!G$32)*$AC$2*$AD$2*$AE$2+('Demand Base Matrix'!G$29+'Demand Base Matrix'!G$30)*$W$2*$AD$2+'Demand Base Matrix'!G$31*$W$2*$AD$2*$AE$2+'Demand Base Matrix'!G$33+'Demand Base Matrix'!G$34*$AF$2),IF($C20="Bond",(('Demand Base Matrix'!G$55+'Demand Base Matrix'!G$59)*$AC$2*$AD$2*$AE$2+('Demand Base Matrix'!G$56+'Demand Base Matrix'!G$57)*$W$2*$AD$2+'Demand Base Matrix'!G$58*$W$2*$AD$2*$AE$2+'Demand Base Matrix'!G$60+'Demand Base Matrix'!G$61*$AF$2),IF($C20="Explore",('Demand Base Matrix'!G$82*$AC$2*$AD$2*$AE$2*$AF$2+'Demand Base Matrix'!G$83*$W$2*$AC$2*$AD$2*$AE$2*$AF$2+'Demand Base Matrix'!G$84)))))</f>
        <v>50</v>
      </c>
      <c r="AK20">
        <f>IF($C20="Validate",(('Demand Base Matrix'!H$2+'Demand Base Matrix'!H$6)*$AC$2*$AD$2*$AE$2+('Demand Base Matrix'!H$3+'Demand Base Matrix'!H$4)*$W$2*$AD$2+'Demand Base Matrix'!H$5*$W$2*$AD$2*$AE$2+'Demand Base Matrix'!H$7+'Demand Base Matrix'!H$8*$AF$2),IF($C20="Integrate",(('Demand Base Matrix'!H$28+'Demand Base Matrix'!H$32)*$AC$2*$AD$2*$AE$2+('Demand Base Matrix'!H$29+'Demand Base Matrix'!H$30)*$W$2*$AD$2+'Demand Base Matrix'!H$31*$W$2*$AD$2*$AE$2+'Demand Base Matrix'!H$33+'Demand Base Matrix'!H$34*$AF$2),IF($C20="Bond",(('Demand Base Matrix'!H$55+'Demand Base Matrix'!H$59)*$AC$2*$AD$2*$AE$2+('Demand Base Matrix'!H$56+'Demand Base Matrix'!H$57)*$W$2*$AD$2+'Demand Base Matrix'!H$58*$W$2*$AD$2*$AE$2+'Demand Base Matrix'!H$60+'Demand Base Matrix'!H$61*$AF$2),IF($C20="Explore",('Demand Base Matrix'!H$82*$AC$2*$AD$2*$AE$2*$AF$2+'Demand Base Matrix'!H$83*$W$2*$AC$2*$AD$2*$AE$2*$AF$2+'Demand Base Matrix'!H$84)))))</f>
        <v>28</v>
      </c>
      <c r="AL20">
        <f>IF($C20="Validate",(('Demand Base Matrix'!I$2+'Demand Base Matrix'!I$6)*$AC$2*$AD$2*$AE$2+('Demand Base Matrix'!I$3+'Demand Base Matrix'!I$4)*$W$2*$AD$2+'Demand Base Matrix'!I$5*$W$2*$AD$2*$AE$2+'Demand Base Matrix'!I$7+'Demand Base Matrix'!I$8*$AF$2),IF($C20="Integrate",(('Demand Base Matrix'!I$28+'Demand Base Matrix'!I$32)*$AC$2*$AD$2*$AE$2+('Demand Base Matrix'!I$29+'Demand Base Matrix'!I$30)*$W$2*$AD$2+'Demand Base Matrix'!I$31*$W$2*$AD$2*$AE$2+'Demand Base Matrix'!I$33+'Demand Base Matrix'!I$34*$AF$2),IF($C20="Bond",(('Demand Base Matrix'!I$55+'Demand Base Matrix'!I$59)*$AC$2*$AD$2*$AE$2+('Demand Base Matrix'!I$56+'Demand Base Matrix'!I$57)*$W$2*$AD$2+'Demand Base Matrix'!I$58*$W$2*$AD$2*$AE$2+'Demand Base Matrix'!I$60+'Demand Base Matrix'!I$61*$AF$2),IF($C20="Explore",('Demand Base Matrix'!I$82*$AC$2*$AD$2*$AE$2*$AF$2+'Demand Base Matrix'!I$83*$W$2*$AC$2*$AD$2*$AE$2*$AF$2+'Demand Base Matrix'!I$84)))))</f>
        <v>8</v>
      </c>
      <c r="AM20">
        <f>IF($C20="Validate",(('Demand Base Matrix'!J$2+'Demand Base Matrix'!J$6)*$AC$2*$AD$2*$AE$2+('Demand Base Matrix'!J$3+'Demand Base Matrix'!J$4)*$W$2*$AD$2+'Demand Base Matrix'!J$5*$W$2*$AD$2*$AE$2+'Demand Base Matrix'!J$7+'Demand Base Matrix'!J$8*$AF$2),IF($C20="Integrate",(('Demand Base Matrix'!J$28+'Demand Base Matrix'!J$32)*$AC$2*$AD$2*$AE$2+('Demand Base Matrix'!J$29+'Demand Base Matrix'!J$30)*$W$2*$AD$2+'Demand Base Matrix'!J$31*$W$2*$AD$2*$AE$2+'Demand Base Matrix'!J$33+'Demand Base Matrix'!J$34*$AF$2),IF($C20="Bond",(('Demand Base Matrix'!J$55+'Demand Base Matrix'!J$59)*$AC$2*$AD$2*$AE$2+('Demand Base Matrix'!J$56+'Demand Base Matrix'!J$57)*$W$2*$AD$2+'Demand Base Matrix'!J$58*$W$2*$AD$2*$AE$2+'Demand Base Matrix'!J$60+'Demand Base Matrix'!J$61*$AF$2),IF($C20="Explore",('Demand Base Matrix'!J$82*$AC$2*$AD$2*$AE$2*$AF$2+'Demand Base Matrix'!J$83*$W$2*$AC$2*$AD$2*$AE$2*$AF$2+'Demand Base Matrix'!J$84)))))</f>
        <v>8</v>
      </c>
      <c r="AN20" s="4"/>
      <c r="AP20" s="42"/>
      <c r="AQ20" s="42"/>
      <c r="AR20" s="42"/>
      <c r="AS20"/>
      <c r="AT20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</row>
    <row r="21" spans="1:95" x14ac:dyDescent="0.2">
      <c r="A21" t="s">
        <v>735</v>
      </c>
      <c r="B21" t="s">
        <v>50</v>
      </c>
      <c r="C21" t="s">
        <v>23</v>
      </c>
      <c r="D21" t="s">
        <v>179</v>
      </c>
      <c r="E21" t="s">
        <v>222</v>
      </c>
      <c r="F21" t="s">
        <v>51</v>
      </c>
      <c r="I21" t="str">
        <f>IFERROR(INDEX('Customer 360'!F:F,MATCH(B21,'Customer 360'!A:A,0)),"-")</f>
        <v>D</v>
      </c>
      <c r="J21">
        <v>3580</v>
      </c>
      <c r="K21"/>
      <c r="L21" s="4">
        <v>46265</v>
      </c>
      <c r="M21" s="4">
        <v>46265</v>
      </c>
      <c r="N21">
        <v>2026</v>
      </c>
      <c r="O21" s="4">
        <v>46023</v>
      </c>
      <c r="P21" t="s">
        <v>217</v>
      </c>
      <c r="Q21" s="18">
        <f t="shared" si="0"/>
        <v>46023</v>
      </c>
      <c r="R21" s="18">
        <f>IFERROR(IF(M21&lt;&gt;"",M21,IF(L21&lt;&gt;"",L21,INDEX('CSM RDD'!B:B,MATCH(B21,'CSM RDD'!A:A,0)))),"-")</f>
        <v>46265</v>
      </c>
      <c r="S21" s="18">
        <f t="shared" si="4"/>
        <v>46023</v>
      </c>
      <c r="T21" s="18">
        <f t="shared" si="5"/>
        <v>46235</v>
      </c>
      <c r="U21" s="6">
        <f t="shared" si="1"/>
        <v>3580</v>
      </c>
      <c r="V21" s="18">
        <f t="shared" si="2"/>
        <v>46082</v>
      </c>
      <c r="W21">
        <f>IF(U21=0,1,IF(U21&lt;='Demand Base Matrix'!$K$3,'Demand Base Matrix'!$L$3,IF(U21&lt;='Demand Base Matrix'!$K$4,'Demand Base Matrix'!$L$4,IF(U21&lt;='Demand Base Matrix'!$K$5,'Demand Base Matrix'!$L$5,IF(U21&lt;='Demand Base Matrix'!$K$6,'Demand Base Matrix'!$L$6,IF(U21&lt;='Demand Base Matrix'!$K$7,'Demand Base Matrix'!$L$7))))))</f>
        <v>1</v>
      </c>
      <c r="X21" s="4">
        <f t="shared" si="6"/>
        <v>46235</v>
      </c>
      <c r="Y21" t="str">
        <f t="shared" si="3"/>
        <v>Dx</v>
      </c>
      <c r="Z21" t="s">
        <v>685</v>
      </c>
      <c r="AA21" t="s">
        <v>685</v>
      </c>
      <c r="AB21" t="s">
        <v>685</v>
      </c>
      <c r="AC21">
        <f>IFERROR(INDEX('Demand Base Matrix'!AM:AM,MATCH(Y21,'Demand Base Matrix'!AL:AL,0)),"-")</f>
        <v>1</v>
      </c>
      <c r="AD21">
        <f>IFERROR(INDEX('Demand Base Matrix'!AO:AO,MATCH(Z21,'Demand Base Matrix'!AN:AN,0)),1)</f>
        <v>1</v>
      </c>
      <c r="AE21">
        <f>IFERROR(INDEX('Demand Base Matrix'!AQ:AQ,MATCH(AA21,'Demand Base Matrix'!AP:AP,0)),1)</f>
        <v>1</v>
      </c>
      <c r="AF21">
        <f>IFERROR(INDEX('Demand Base Matrix'!AS:AS,MATCH(AB21,'Demand Base Matrix'!AR:AR,0)),1)</f>
        <v>1</v>
      </c>
      <c r="AG21">
        <f>IF($C21="Validate",(('Demand Base Matrix'!D$2+'Demand Base Matrix'!D$6)*$AC$2*$AD$2*$AE$2+('Demand Base Matrix'!D$3+'Demand Base Matrix'!D$4)*$W$2*$AD$2+'Demand Base Matrix'!D$5*$W$2*$AD$2*$AE$2+'Demand Base Matrix'!D$7+'Demand Base Matrix'!D$8*$AF$2),IF($C21="Integrate",(('Demand Base Matrix'!D$28+'Demand Base Matrix'!D$32)*$AC$2*$AD$2*$AE$2+('Demand Base Matrix'!D$29+'Demand Base Matrix'!D$30)*$W$2*$AD$2+'Demand Base Matrix'!D$31*$W$2*$AD$2*$AE$2+'Demand Base Matrix'!D$33+'Demand Base Matrix'!D$34*$AF$2),IF($C21="Bond",(('Demand Base Matrix'!D$55+'Demand Base Matrix'!D$59)*$AC$2*$AD$2*$AE$2+('Demand Base Matrix'!D$56+'Demand Base Matrix'!D$57)*$W$2*$AD$2+'Demand Base Matrix'!D$58*$W$2*$AD$2*$AE$2+'Demand Base Matrix'!D$60+'Demand Base Matrix'!D$61*$AF$2),IF($C21="Explore",('Demand Base Matrix'!D$82*$AC$2*$AD$2*$AE$2*$AF$2+'Demand Base Matrix'!D$83*$W$2*$AC$2*$AD$2*$AE$2*$AF$2+'Demand Base Matrix'!D$84)))))</f>
        <v>10</v>
      </c>
      <c r="AH21">
        <f>IF($C21="Validate",(('Demand Base Matrix'!E$2+'Demand Base Matrix'!E$6)*$AC$2*$AD$2*$AE$2+('Demand Base Matrix'!E$3+'Demand Base Matrix'!E$4)*$W$2*$AD$2+'Demand Base Matrix'!E$5*$W$2*$AD$2*$AE$2+'Demand Base Matrix'!E$7+'Demand Base Matrix'!E$8*$AF$2),IF($C21="Integrate",(('Demand Base Matrix'!E$28+'Demand Base Matrix'!E$32)*$AC$2*$AD$2*$AE$2+('Demand Base Matrix'!E$29+'Demand Base Matrix'!E$30)*$W$2*$AD$2+'Demand Base Matrix'!E$31*$W$2*$AD$2*$AE$2+'Demand Base Matrix'!E$33+'Demand Base Matrix'!E$34*$AF$2),IF($C21="Bond",(('Demand Base Matrix'!E$55+'Demand Base Matrix'!E$59)*$AC$2*$AD$2*$AE$2+('Demand Base Matrix'!E$56+'Demand Base Matrix'!E$57)*$W$2*$AD$2+'Demand Base Matrix'!E$58*$W$2*$AD$2*$AE$2+'Demand Base Matrix'!E$60+'Demand Base Matrix'!E$61*$AF$2),IF($C21="Explore",('Demand Base Matrix'!E$82*$AC$2*$AD$2*$AE$2*$AF$2+'Demand Base Matrix'!E$83*$W$2*$AC$2*$AD$2*$AE$2*$AF$2+'Demand Base Matrix'!E$84)))))</f>
        <v>10</v>
      </c>
      <c r="AI21">
        <f>IF($C21="Validate",(('Demand Base Matrix'!F$2+'Demand Base Matrix'!F$6)*$AC$2*$AD$2*$AE$2+('Demand Base Matrix'!F$3+'Demand Base Matrix'!F$4)*$W$2*$AD$2+'Demand Base Matrix'!F$5*$W$2*$AD$2*$AE$2+'Demand Base Matrix'!F$7+'Demand Base Matrix'!F$8*$AF$2),IF($C21="Integrate",(('Demand Base Matrix'!F$28+'Demand Base Matrix'!F$32)*$AC$2*$AD$2*$AE$2+('Demand Base Matrix'!F$29+'Demand Base Matrix'!F$30)*$W$2*$AD$2+'Demand Base Matrix'!F$31*$W$2*$AD$2*$AE$2+'Demand Base Matrix'!F$33+'Demand Base Matrix'!F$34*$AF$2),IF($C21="Bond",(('Demand Base Matrix'!F$55+'Demand Base Matrix'!F$59)*$AC$2*$AD$2*$AE$2+('Demand Base Matrix'!F$56+'Demand Base Matrix'!F$57)*$W$2*$AD$2+'Demand Base Matrix'!F$58*$W$2*$AD$2*$AE$2+'Demand Base Matrix'!F$60+'Demand Base Matrix'!F$61*$AF$2),IF($C21="Explore",('Demand Base Matrix'!F$82*$AC$2*$AD$2*$AE$2*$AF$2+'Demand Base Matrix'!F$83*$W$2*$AC$2*$AD$2*$AE$2*$AF$2+'Demand Base Matrix'!F$84)))))</f>
        <v>10</v>
      </c>
      <c r="AJ21">
        <f>IF($C21="Validate",(('Demand Base Matrix'!G$2+'Demand Base Matrix'!G$6)*$AC$2*$AD$2*$AE$2+('Demand Base Matrix'!G$3+'Demand Base Matrix'!G$4)*$W$2*$AD$2+'Demand Base Matrix'!G$5*$W$2*$AD$2*$AE$2+'Demand Base Matrix'!G$7+'Demand Base Matrix'!G$8*$AF$2),IF($C21="Integrate",(('Demand Base Matrix'!G$28+'Demand Base Matrix'!G$32)*$AC$2*$AD$2*$AE$2+('Demand Base Matrix'!G$29+'Demand Base Matrix'!G$30)*$W$2*$AD$2+'Demand Base Matrix'!G$31*$W$2*$AD$2*$AE$2+'Demand Base Matrix'!G$33+'Demand Base Matrix'!G$34*$AF$2),IF($C21="Bond",(('Demand Base Matrix'!G$55+'Demand Base Matrix'!G$59)*$AC$2*$AD$2*$AE$2+('Demand Base Matrix'!G$56+'Demand Base Matrix'!G$57)*$W$2*$AD$2+'Demand Base Matrix'!G$58*$W$2*$AD$2*$AE$2+'Demand Base Matrix'!G$60+'Demand Base Matrix'!G$61*$AF$2),IF($C21="Explore",('Demand Base Matrix'!G$82*$AC$2*$AD$2*$AE$2*$AF$2+'Demand Base Matrix'!G$83*$W$2*$AC$2*$AD$2*$AE$2*$AF$2+'Demand Base Matrix'!G$84)))))</f>
        <v>50</v>
      </c>
      <c r="AK21">
        <f>IF($C21="Validate",(('Demand Base Matrix'!H$2+'Demand Base Matrix'!H$6)*$AC$2*$AD$2*$AE$2+('Demand Base Matrix'!H$3+'Demand Base Matrix'!H$4)*$W$2*$AD$2+'Demand Base Matrix'!H$5*$W$2*$AD$2*$AE$2+'Demand Base Matrix'!H$7+'Demand Base Matrix'!H$8*$AF$2),IF($C21="Integrate",(('Demand Base Matrix'!H$28+'Demand Base Matrix'!H$32)*$AC$2*$AD$2*$AE$2+('Demand Base Matrix'!H$29+'Demand Base Matrix'!H$30)*$W$2*$AD$2+'Demand Base Matrix'!H$31*$W$2*$AD$2*$AE$2+'Demand Base Matrix'!H$33+'Demand Base Matrix'!H$34*$AF$2),IF($C21="Bond",(('Demand Base Matrix'!H$55+'Demand Base Matrix'!H$59)*$AC$2*$AD$2*$AE$2+('Demand Base Matrix'!H$56+'Demand Base Matrix'!H$57)*$W$2*$AD$2+'Demand Base Matrix'!H$58*$W$2*$AD$2*$AE$2+'Demand Base Matrix'!H$60+'Demand Base Matrix'!H$61*$AF$2),IF($C21="Explore",('Demand Base Matrix'!H$82*$AC$2*$AD$2*$AE$2*$AF$2+'Demand Base Matrix'!H$83*$W$2*$AC$2*$AD$2*$AE$2*$AF$2+'Demand Base Matrix'!H$84)))))</f>
        <v>28</v>
      </c>
      <c r="AL21">
        <f>IF($C21="Validate",(('Demand Base Matrix'!I$2+'Demand Base Matrix'!I$6)*$AC$2*$AD$2*$AE$2+('Demand Base Matrix'!I$3+'Demand Base Matrix'!I$4)*$W$2*$AD$2+'Demand Base Matrix'!I$5*$W$2*$AD$2*$AE$2+'Demand Base Matrix'!I$7+'Demand Base Matrix'!I$8*$AF$2),IF($C21="Integrate",(('Demand Base Matrix'!I$28+'Demand Base Matrix'!I$32)*$AC$2*$AD$2*$AE$2+('Demand Base Matrix'!I$29+'Demand Base Matrix'!I$30)*$W$2*$AD$2+'Demand Base Matrix'!I$31*$W$2*$AD$2*$AE$2+'Demand Base Matrix'!I$33+'Demand Base Matrix'!I$34*$AF$2),IF($C21="Bond",(('Demand Base Matrix'!I$55+'Demand Base Matrix'!I$59)*$AC$2*$AD$2*$AE$2+('Demand Base Matrix'!I$56+'Demand Base Matrix'!I$57)*$W$2*$AD$2+'Demand Base Matrix'!I$58*$W$2*$AD$2*$AE$2+'Demand Base Matrix'!I$60+'Demand Base Matrix'!I$61*$AF$2),IF($C21="Explore",('Demand Base Matrix'!I$82*$AC$2*$AD$2*$AE$2*$AF$2+'Demand Base Matrix'!I$83*$W$2*$AC$2*$AD$2*$AE$2*$AF$2+'Demand Base Matrix'!I$84)))))</f>
        <v>8</v>
      </c>
      <c r="AM21">
        <f>IF($C21="Validate",(('Demand Base Matrix'!J$2+'Demand Base Matrix'!J$6)*$AC$2*$AD$2*$AE$2+('Demand Base Matrix'!J$3+'Demand Base Matrix'!J$4)*$W$2*$AD$2+'Demand Base Matrix'!J$5*$W$2*$AD$2*$AE$2+'Demand Base Matrix'!J$7+'Demand Base Matrix'!J$8*$AF$2),IF($C21="Integrate",(('Demand Base Matrix'!J$28+'Demand Base Matrix'!J$32)*$AC$2*$AD$2*$AE$2+('Demand Base Matrix'!J$29+'Demand Base Matrix'!J$30)*$W$2*$AD$2+'Demand Base Matrix'!J$31*$W$2*$AD$2*$AE$2+'Demand Base Matrix'!J$33+'Demand Base Matrix'!J$34*$AF$2),IF($C21="Bond",(('Demand Base Matrix'!J$55+'Demand Base Matrix'!J$59)*$AC$2*$AD$2*$AE$2+('Demand Base Matrix'!J$56+'Demand Base Matrix'!J$57)*$W$2*$AD$2+'Demand Base Matrix'!J$58*$W$2*$AD$2*$AE$2+'Demand Base Matrix'!J$60+'Demand Base Matrix'!J$61*$AF$2),IF($C21="Explore",('Demand Base Matrix'!J$82*$AC$2*$AD$2*$AE$2*$AF$2+'Demand Base Matrix'!J$83*$W$2*$AC$2*$AD$2*$AE$2*$AF$2+'Demand Base Matrix'!J$84)))))</f>
        <v>8</v>
      </c>
      <c r="AP21" s="5"/>
      <c r="AQ21" s="5"/>
      <c r="AR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</row>
    <row r="22" spans="1:95" x14ac:dyDescent="0.2">
      <c r="A22" t="s">
        <v>736</v>
      </c>
      <c r="B22" t="s">
        <v>52</v>
      </c>
      <c r="C22" t="s">
        <v>23</v>
      </c>
      <c r="D22" t="s">
        <v>179</v>
      </c>
      <c r="E22" t="s">
        <v>222</v>
      </c>
      <c r="F22" t="s">
        <v>189</v>
      </c>
      <c r="I22" t="str">
        <f>IFERROR(INDEX('Customer 360'!F:F,MATCH(B22,'Customer 360'!A:A,0)),"-")</f>
        <v>D</v>
      </c>
      <c r="J22">
        <v>3200</v>
      </c>
      <c r="K22"/>
      <c r="L22" s="4">
        <v>46273</v>
      </c>
      <c r="M22" s="4">
        <v>46273</v>
      </c>
      <c r="N22">
        <v>2026</v>
      </c>
      <c r="O22" s="4">
        <v>46023</v>
      </c>
      <c r="P22" t="s">
        <v>217</v>
      </c>
      <c r="Q22" s="18">
        <f t="shared" si="0"/>
        <v>46023</v>
      </c>
      <c r="R22" s="18">
        <f>IFERROR(IF(M22&lt;&gt;"",M22,IF(L22&lt;&gt;"",L22,INDEX('CSM RDD'!B:B,MATCH(B22,'CSM RDD'!A:A,0)))),"-")</f>
        <v>46273</v>
      </c>
      <c r="S22" s="18">
        <f t="shared" si="4"/>
        <v>46023</v>
      </c>
      <c r="T22" s="18">
        <f t="shared" si="5"/>
        <v>46266</v>
      </c>
      <c r="U22" s="6">
        <f t="shared" si="1"/>
        <v>3200</v>
      </c>
      <c r="V22" s="18">
        <f t="shared" si="2"/>
        <v>46082</v>
      </c>
      <c r="W22">
        <f>IF(U22=0,1,IF(U22&lt;='Demand Base Matrix'!$K$3,'Demand Base Matrix'!$L$3,IF(U22&lt;='Demand Base Matrix'!$K$4,'Demand Base Matrix'!$L$4,IF(U22&lt;='Demand Base Matrix'!$K$5,'Demand Base Matrix'!$L$5,IF(U22&lt;='Demand Base Matrix'!$K$6,'Demand Base Matrix'!$L$6,IF(U22&lt;='Demand Base Matrix'!$K$7,'Demand Base Matrix'!$L$7))))))</f>
        <v>1</v>
      </c>
      <c r="X22" s="4">
        <f t="shared" si="6"/>
        <v>46266</v>
      </c>
      <c r="Y22" t="str">
        <f t="shared" si="3"/>
        <v>Dx</v>
      </c>
      <c r="Z22" t="s">
        <v>685</v>
      </c>
      <c r="AA22" t="s">
        <v>685</v>
      </c>
      <c r="AB22" t="s">
        <v>685</v>
      </c>
      <c r="AC22">
        <f>IFERROR(INDEX('Demand Base Matrix'!AM:AM,MATCH(Y22,'Demand Base Matrix'!AL:AL,0)),"-")</f>
        <v>1</v>
      </c>
      <c r="AD22">
        <f>IFERROR(INDEX('Demand Base Matrix'!AO:AO,MATCH(Z22,'Demand Base Matrix'!AN:AN,0)),1)</f>
        <v>1</v>
      </c>
      <c r="AE22">
        <f>IFERROR(INDEX('Demand Base Matrix'!AQ:AQ,MATCH(AA22,'Demand Base Matrix'!AP:AP,0)),1)</f>
        <v>1</v>
      </c>
      <c r="AF22">
        <f>IFERROR(INDEX('Demand Base Matrix'!AS:AS,MATCH(AB22,'Demand Base Matrix'!AR:AR,0)),1)</f>
        <v>1</v>
      </c>
      <c r="AG22">
        <f>IF($C22="Validate",(('Demand Base Matrix'!D$2+'Demand Base Matrix'!D$6)*$AC$2*$AD$2*$AE$2+('Demand Base Matrix'!D$3+'Demand Base Matrix'!D$4)*$W$2*$AD$2+'Demand Base Matrix'!D$5*$W$2*$AD$2*$AE$2+'Demand Base Matrix'!D$7+'Demand Base Matrix'!D$8*$AF$2),IF($C22="Integrate",(('Demand Base Matrix'!D$28+'Demand Base Matrix'!D$32)*$AC$2*$AD$2*$AE$2+('Demand Base Matrix'!D$29+'Demand Base Matrix'!D$30)*$W$2*$AD$2+'Demand Base Matrix'!D$31*$W$2*$AD$2*$AE$2+'Demand Base Matrix'!D$33+'Demand Base Matrix'!D$34*$AF$2),IF($C22="Bond",(('Demand Base Matrix'!D$55+'Demand Base Matrix'!D$59)*$AC$2*$AD$2*$AE$2+('Demand Base Matrix'!D$56+'Demand Base Matrix'!D$57)*$W$2*$AD$2+'Demand Base Matrix'!D$58*$W$2*$AD$2*$AE$2+'Demand Base Matrix'!D$60+'Demand Base Matrix'!D$61*$AF$2),IF($C22="Explore",('Demand Base Matrix'!D$82*$AC$2*$AD$2*$AE$2*$AF$2+'Demand Base Matrix'!D$83*$W$2*$AC$2*$AD$2*$AE$2*$AF$2+'Demand Base Matrix'!D$84)))))</f>
        <v>10</v>
      </c>
      <c r="AH22">
        <f>IF($C22="Validate",(('Demand Base Matrix'!E$2+'Demand Base Matrix'!E$6)*$AC$2*$AD$2*$AE$2+('Demand Base Matrix'!E$3+'Demand Base Matrix'!E$4)*$W$2*$AD$2+'Demand Base Matrix'!E$5*$W$2*$AD$2*$AE$2+'Demand Base Matrix'!E$7+'Demand Base Matrix'!E$8*$AF$2),IF($C22="Integrate",(('Demand Base Matrix'!E$28+'Demand Base Matrix'!E$32)*$AC$2*$AD$2*$AE$2+('Demand Base Matrix'!E$29+'Demand Base Matrix'!E$30)*$W$2*$AD$2+'Demand Base Matrix'!E$31*$W$2*$AD$2*$AE$2+'Demand Base Matrix'!E$33+'Demand Base Matrix'!E$34*$AF$2),IF($C22="Bond",(('Demand Base Matrix'!E$55+'Demand Base Matrix'!E$59)*$AC$2*$AD$2*$AE$2+('Demand Base Matrix'!E$56+'Demand Base Matrix'!E$57)*$W$2*$AD$2+'Demand Base Matrix'!E$58*$W$2*$AD$2*$AE$2+'Demand Base Matrix'!E$60+'Demand Base Matrix'!E$61*$AF$2),IF($C22="Explore",('Demand Base Matrix'!E$82*$AC$2*$AD$2*$AE$2*$AF$2+'Demand Base Matrix'!E$83*$W$2*$AC$2*$AD$2*$AE$2*$AF$2+'Demand Base Matrix'!E$84)))))</f>
        <v>10</v>
      </c>
      <c r="AI22">
        <f>IF($C22="Validate",(('Demand Base Matrix'!F$2+'Demand Base Matrix'!F$6)*$AC$2*$AD$2*$AE$2+('Demand Base Matrix'!F$3+'Demand Base Matrix'!F$4)*$W$2*$AD$2+'Demand Base Matrix'!F$5*$W$2*$AD$2*$AE$2+'Demand Base Matrix'!F$7+'Demand Base Matrix'!F$8*$AF$2),IF($C22="Integrate",(('Demand Base Matrix'!F$28+'Demand Base Matrix'!F$32)*$AC$2*$AD$2*$AE$2+('Demand Base Matrix'!F$29+'Demand Base Matrix'!F$30)*$W$2*$AD$2+'Demand Base Matrix'!F$31*$W$2*$AD$2*$AE$2+'Demand Base Matrix'!F$33+'Demand Base Matrix'!F$34*$AF$2),IF($C22="Bond",(('Demand Base Matrix'!F$55+'Demand Base Matrix'!F$59)*$AC$2*$AD$2*$AE$2+('Demand Base Matrix'!F$56+'Demand Base Matrix'!F$57)*$W$2*$AD$2+'Demand Base Matrix'!F$58*$W$2*$AD$2*$AE$2+'Demand Base Matrix'!F$60+'Demand Base Matrix'!F$61*$AF$2),IF($C22="Explore",('Demand Base Matrix'!F$82*$AC$2*$AD$2*$AE$2*$AF$2+'Demand Base Matrix'!F$83*$W$2*$AC$2*$AD$2*$AE$2*$AF$2+'Demand Base Matrix'!F$84)))))</f>
        <v>10</v>
      </c>
      <c r="AJ22">
        <f>IF($C22="Validate",(('Demand Base Matrix'!G$2+'Demand Base Matrix'!G$6)*$AC$2*$AD$2*$AE$2+('Demand Base Matrix'!G$3+'Demand Base Matrix'!G$4)*$W$2*$AD$2+'Demand Base Matrix'!G$5*$W$2*$AD$2*$AE$2+'Demand Base Matrix'!G$7+'Demand Base Matrix'!G$8*$AF$2),IF($C22="Integrate",(('Demand Base Matrix'!G$28+'Demand Base Matrix'!G$32)*$AC$2*$AD$2*$AE$2+('Demand Base Matrix'!G$29+'Demand Base Matrix'!G$30)*$W$2*$AD$2+'Demand Base Matrix'!G$31*$W$2*$AD$2*$AE$2+'Demand Base Matrix'!G$33+'Demand Base Matrix'!G$34*$AF$2),IF($C22="Bond",(('Demand Base Matrix'!G$55+'Demand Base Matrix'!G$59)*$AC$2*$AD$2*$AE$2+('Demand Base Matrix'!G$56+'Demand Base Matrix'!G$57)*$W$2*$AD$2+'Demand Base Matrix'!G$58*$W$2*$AD$2*$AE$2+'Demand Base Matrix'!G$60+'Demand Base Matrix'!G$61*$AF$2),IF($C22="Explore",('Demand Base Matrix'!G$82*$AC$2*$AD$2*$AE$2*$AF$2+'Demand Base Matrix'!G$83*$W$2*$AC$2*$AD$2*$AE$2*$AF$2+'Demand Base Matrix'!G$84)))))</f>
        <v>50</v>
      </c>
      <c r="AK22">
        <f>IF($C22="Validate",(('Demand Base Matrix'!H$2+'Demand Base Matrix'!H$6)*$AC$2*$AD$2*$AE$2+('Demand Base Matrix'!H$3+'Demand Base Matrix'!H$4)*$W$2*$AD$2+'Demand Base Matrix'!H$5*$W$2*$AD$2*$AE$2+'Demand Base Matrix'!H$7+'Demand Base Matrix'!H$8*$AF$2),IF($C22="Integrate",(('Demand Base Matrix'!H$28+'Demand Base Matrix'!H$32)*$AC$2*$AD$2*$AE$2+('Demand Base Matrix'!H$29+'Demand Base Matrix'!H$30)*$W$2*$AD$2+'Demand Base Matrix'!H$31*$W$2*$AD$2*$AE$2+'Demand Base Matrix'!H$33+'Demand Base Matrix'!H$34*$AF$2),IF($C22="Bond",(('Demand Base Matrix'!H$55+'Demand Base Matrix'!H$59)*$AC$2*$AD$2*$AE$2+('Demand Base Matrix'!H$56+'Demand Base Matrix'!H$57)*$W$2*$AD$2+'Demand Base Matrix'!H$58*$W$2*$AD$2*$AE$2+'Demand Base Matrix'!H$60+'Demand Base Matrix'!H$61*$AF$2),IF($C22="Explore",('Demand Base Matrix'!H$82*$AC$2*$AD$2*$AE$2*$AF$2+'Demand Base Matrix'!H$83*$W$2*$AC$2*$AD$2*$AE$2*$AF$2+'Demand Base Matrix'!H$84)))))</f>
        <v>28</v>
      </c>
      <c r="AL22">
        <f>IF($C22="Validate",(('Demand Base Matrix'!I$2+'Demand Base Matrix'!I$6)*$AC$2*$AD$2*$AE$2+('Demand Base Matrix'!I$3+'Demand Base Matrix'!I$4)*$W$2*$AD$2+'Demand Base Matrix'!I$5*$W$2*$AD$2*$AE$2+'Demand Base Matrix'!I$7+'Demand Base Matrix'!I$8*$AF$2),IF($C22="Integrate",(('Demand Base Matrix'!I$28+'Demand Base Matrix'!I$32)*$AC$2*$AD$2*$AE$2+('Demand Base Matrix'!I$29+'Demand Base Matrix'!I$30)*$W$2*$AD$2+'Demand Base Matrix'!I$31*$W$2*$AD$2*$AE$2+'Demand Base Matrix'!I$33+'Demand Base Matrix'!I$34*$AF$2),IF($C22="Bond",(('Demand Base Matrix'!I$55+'Demand Base Matrix'!I$59)*$AC$2*$AD$2*$AE$2+('Demand Base Matrix'!I$56+'Demand Base Matrix'!I$57)*$W$2*$AD$2+'Demand Base Matrix'!I$58*$W$2*$AD$2*$AE$2+'Demand Base Matrix'!I$60+'Demand Base Matrix'!I$61*$AF$2),IF($C22="Explore",('Demand Base Matrix'!I$82*$AC$2*$AD$2*$AE$2*$AF$2+'Demand Base Matrix'!I$83*$W$2*$AC$2*$AD$2*$AE$2*$AF$2+'Demand Base Matrix'!I$84)))))</f>
        <v>8</v>
      </c>
      <c r="AM22">
        <f>IF($C22="Validate",(('Demand Base Matrix'!J$2+'Demand Base Matrix'!J$6)*$AC$2*$AD$2*$AE$2+('Demand Base Matrix'!J$3+'Demand Base Matrix'!J$4)*$W$2*$AD$2+'Demand Base Matrix'!J$5*$W$2*$AD$2*$AE$2+'Demand Base Matrix'!J$7+'Demand Base Matrix'!J$8*$AF$2),IF($C22="Integrate",(('Demand Base Matrix'!J$28+'Demand Base Matrix'!J$32)*$AC$2*$AD$2*$AE$2+('Demand Base Matrix'!J$29+'Demand Base Matrix'!J$30)*$W$2*$AD$2+'Demand Base Matrix'!J$31*$W$2*$AD$2*$AE$2+'Demand Base Matrix'!J$33+'Demand Base Matrix'!J$34*$AF$2),IF($C22="Bond",(('Demand Base Matrix'!J$55+'Demand Base Matrix'!J$59)*$AC$2*$AD$2*$AE$2+('Demand Base Matrix'!J$56+'Demand Base Matrix'!J$57)*$W$2*$AD$2+'Demand Base Matrix'!J$58*$W$2*$AD$2*$AE$2+'Demand Base Matrix'!J$60+'Demand Base Matrix'!J$61*$AF$2),IF($C22="Explore",('Demand Base Matrix'!J$82*$AC$2*$AD$2*$AE$2*$AF$2+'Demand Base Matrix'!J$83*$W$2*$AC$2*$AD$2*$AE$2*$AF$2+'Demand Base Matrix'!J$84)))))</f>
        <v>8</v>
      </c>
      <c r="AP22" s="5"/>
      <c r="AQ22" s="5"/>
      <c r="AR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</row>
    <row r="23" spans="1:95" x14ac:dyDescent="0.2">
      <c r="A23" t="s">
        <v>737</v>
      </c>
      <c r="B23" t="s">
        <v>188</v>
      </c>
      <c r="C23" t="s">
        <v>32</v>
      </c>
      <c r="D23" t="s">
        <v>60</v>
      </c>
      <c r="E23" t="s">
        <v>25</v>
      </c>
      <c r="F23" t="s">
        <v>198</v>
      </c>
      <c r="I23" t="str">
        <f>IFERROR(INDEX('Customer 360'!F:F,MATCH(B23,'Customer 360'!A:A,0)),"-")</f>
        <v>NA</v>
      </c>
      <c r="J23">
        <v>5000</v>
      </c>
      <c r="K23"/>
      <c r="L23" s="4">
        <v>46307</v>
      </c>
      <c r="M23" s="4">
        <v>46307</v>
      </c>
      <c r="N23">
        <v>2026</v>
      </c>
      <c r="O23" s="4">
        <v>46023</v>
      </c>
      <c r="P23" t="s">
        <v>217</v>
      </c>
      <c r="Q23" s="18">
        <f t="shared" si="0"/>
        <v>46023</v>
      </c>
      <c r="R23" s="18">
        <f>IFERROR(IF(M23&lt;&gt;"",M23,IF(L23&lt;&gt;"",L23,INDEX('CSM RDD'!B:B,MATCH(B23,'CSM RDD'!A:A,0)))),"-")</f>
        <v>46307</v>
      </c>
      <c r="S23" s="18">
        <f t="shared" ref="S23:S76" si="7">IFERROR(EOMONTH(Q23,-1)+1,"")</f>
        <v>46023</v>
      </c>
      <c r="T23" s="18">
        <f t="shared" ref="T23:T76" si="8">IFERROR(EOMONTH(R23,-1)+1,"")</f>
        <v>46296</v>
      </c>
      <c r="U23" s="6">
        <f t="shared" ref="U23:U76" si="9">J23+K23</f>
        <v>5000</v>
      </c>
      <c r="V23" s="18">
        <f t="shared" si="2"/>
        <v>46082</v>
      </c>
      <c r="W23">
        <f>IF(U23=0,1,IF(U23&lt;='Demand Base Matrix'!$K$3,'Demand Base Matrix'!$L$3,IF(U23&lt;='Demand Base Matrix'!$K$4,'Demand Base Matrix'!$L$4,IF(U23&lt;='Demand Base Matrix'!$K$5,'Demand Base Matrix'!$L$5,IF(U23&lt;='Demand Base Matrix'!$K$6,'Demand Base Matrix'!$L$6,IF(U23&lt;='Demand Base Matrix'!$K$7,'Demand Base Matrix'!$L$7))))))</f>
        <v>1</v>
      </c>
      <c r="X23" s="4">
        <f t="shared" ref="X23:X76" si="10">DATE(YEAR(R23),MONTH(R23),1)</f>
        <v>46296</v>
      </c>
      <c r="Y23" t="str">
        <f t="shared" ref="Y23:Y76" si="11">IF(K23&gt;0,"Tx","Dx")</f>
        <v>Dx</v>
      </c>
      <c r="Z23" t="s">
        <v>685</v>
      </c>
      <c r="AA23" t="s">
        <v>684</v>
      </c>
      <c r="AB23" t="s">
        <v>685</v>
      </c>
      <c r="AC23">
        <f>IFERROR(INDEX('Demand Base Matrix'!AM:AM,MATCH(Y23,'Demand Base Matrix'!AL:AL,0)),"-")</f>
        <v>1</v>
      </c>
      <c r="AD23">
        <f>IFERROR(INDEX('Demand Base Matrix'!AO:AO,MATCH(Z23,'Demand Base Matrix'!AN:AN,0)),1)</f>
        <v>1</v>
      </c>
      <c r="AE23">
        <f>IFERROR(INDEX('Demand Base Matrix'!AQ:AQ,MATCH(AA23,'Demand Base Matrix'!AP:AP,0)),1)</f>
        <v>1.5</v>
      </c>
      <c r="AF23">
        <f>IFERROR(INDEX('Demand Base Matrix'!AS:AS,MATCH(AB23,'Demand Base Matrix'!AR:AR,0)),1)</f>
        <v>1</v>
      </c>
      <c r="AG23">
        <f>IF($C23="Validate",(('Demand Base Matrix'!D$2+'Demand Base Matrix'!D$6)*$AC$2*$AD$2*$AE$2+('Demand Base Matrix'!D$3+'Demand Base Matrix'!D$4)*$W$2*$AD$2+'Demand Base Matrix'!D$5*$W$2*$AD$2*$AE$2+'Demand Base Matrix'!D$7+'Demand Base Matrix'!D$8*$AF$2),IF($C23="Integrate",(('Demand Base Matrix'!D$28+'Demand Base Matrix'!D$32)*$AC$2*$AD$2*$AE$2+('Demand Base Matrix'!D$29+'Demand Base Matrix'!D$30)*$W$2*$AD$2+'Demand Base Matrix'!D$31*$W$2*$AD$2*$AE$2+'Demand Base Matrix'!D$33+'Demand Base Matrix'!D$34*$AF$2),IF($C23="Bond",(('Demand Base Matrix'!D$55+'Demand Base Matrix'!D$59)*$AC$2*$AD$2*$AE$2+('Demand Base Matrix'!D$56+'Demand Base Matrix'!D$57)*$W$2*$AD$2+'Demand Base Matrix'!D$58*$W$2*$AD$2*$AE$2+'Demand Base Matrix'!D$60+'Demand Base Matrix'!D$61*$AF$2),IF($C23="Explore",('Demand Base Matrix'!D$82*$AC$2*$AD$2*$AE$2*$AF$2+'Demand Base Matrix'!D$83*$W$2*$AC$2*$AD$2*$AE$2*$AF$2+'Demand Base Matrix'!D$84)))))</f>
        <v>10</v>
      </c>
      <c r="AH23">
        <f>IF($C23="Validate",(('Demand Base Matrix'!E$2+'Demand Base Matrix'!E$6)*$AC$2*$AD$2*$AE$2+('Demand Base Matrix'!E$3+'Demand Base Matrix'!E$4)*$W$2*$AD$2+'Demand Base Matrix'!E$5*$W$2*$AD$2*$AE$2+'Demand Base Matrix'!E$7+'Demand Base Matrix'!E$8*$AF$2),IF($C23="Integrate",(('Demand Base Matrix'!E$28+'Demand Base Matrix'!E$32)*$AC$2*$AD$2*$AE$2+('Demand Base Matrix'!E$29+'Demand Base Matrix'!E$30)*$W$2*$AD$2+'Demand Base Matrix'!E$31*$W$2*$AD$2*$AE$2+'Demand Base Matrix'!E$33+'Demand Base Matrix'!E$34*$AF$2),IF($C23="Bond",(('Demand Base Matrix'!E$55+'Demand Base Matrix'!E$59)*$AC$2*$AD$2*$AE$2+('Demand Base Matrix'!E$56+'Demand Base Matrix'!E$57)*$W$2*$AD$2+'Demand Base Matrix'!E$58*$W$2*$AD$2*$AE$2+'Demand Base Matrix'!E$60+'Demand Base Matrix'!E$61*$AF$2),IF($C23="Explore",('Demand Base Matrix'!E$82*$AC$2*$AD$2*$AE$2*$AF$2+'Demand Base Matrix'!E$83*$W$2*$AC$2*$AD$2*$AE$2*$AF$2+'Demand Base Matrix'!E$84)))))</f>
        <v>20</v>
      </c>
      <c r="AI23">
        <f>IF($C23="Validate",(('Demand Base Matrix'!F$2+'Demand Base Matrix'!F$6)*$AC$2*$AD$2*$AE$2+('Demand Base Matrix'!F$3+'Demand Base Matrix'!F$4)*$W$2*$AD$2+'Demand Base Matrix'!F$5*$W$2*$AD$2*$AE$2+'Demand Base Matrix'!F$7+'Demand Base Matrix'!F$8*$AF$2),IF($C23="Integrate",(('Demand Base Matrix'!F$28+'Demand Base Matrix'!F$32)*$AC$2*$AD$2*$AE$2+('Demand Base Matrix'!F$29+'Demand Base Matrix'!F$30)*$W$2*$AD$2+'Demand Base Matrix'!F$31*$W$2*$AD$2*$AE$2+'Demand Base Matrix'!F$33+'Demand Base Matrix'!F$34*$AF$2),IF($C23="Bond",(('Demand Base Matrix'!F$55+'Demand Base Matrix'!F$59)*$AC$2*$AD$2*$AE$2+('Demand Base Matrix'!F$56+'Demand Base Matrix'!F$57)*$W$2*$AD$2+'Demand Base Matrix'!F$58*$W$2*$AD$2*$AE$2+'Demand Base Matrix'!F$60+'Demand Base Matrix'!F$61*$AF$2),IF($C23="Explore",('Demand Base Matrix'!F$82*$AC$2*$AD$2*$AE$2*$AF$2+'Demand Base Matrix'!F$83*$W$2*$AC$2*$AD$2*$AE$2*$AF$2+'Demand Base Matrix'!F$84)))))</f>
        <v>10</v>
      </c>
      <c r="AJ23">
        <f>IF($C23="Validate",(('Demand Base Matrix'!G$2+'Demand Base Matrix'!G$6)*$AC$2*$AD$2*$AE$2+('Demand Base Matrix'!G$3+'Demand Base Matrix'!G$4)*$W$2*$AD$2+'Demand Base Matrix'!G$5*$W$2*$AD$2*$AE$2+'Demand Base Matrix'!G$7+'Demand Base Matrix'!G$8*$AF$2),IF($C23="Integrate",(('Demand Base Matrix'!G$28+'Demand Base Matrix'!G$32)*$AC$2*$AD$2*$AE$2+('Demand Base Matrix'!G$29+'Demand Base Matrix'!G$30)*$W$2*$AD$2+'Demand Base Matrix'!G$31*$W$2*$AD$2*$AE$2+'Demand Base Matrix'!G$33+'Demand Base Matrix'!G$34*$AF$2),IF($C23="Bond",(('Demand Base Matrix'!G$55+'Demand Base Matrix'!G$59)*$AC$2*$AD$2*$AE$2+('Demand Base Matrix'!G$56+'Demand Base Matrix'!G$57)*$W$2*$AD$2+'Demand Base Matrix'!G$58*$W$2*$AD$2*$AE$2+'Demand Base Matrix'!G$60+'Demand Base Matrix'!G$61*$AF$2),IF($C23="Explore",('Demand Base Matrix'!G$82*$AC$2*$AD$2*$AE$2*$AF$2+'Demand Base Matrix'!G$83*$W$2*$AC$2*$AD$2*$AE$2*$AF$2+'Demand Base Matrix'!G$84)))))</f>
        <v>60</v>
      </c>
      <c r="AK23">
        <f>IF($C23="Validate",(('Demand Base Matrix'!H$2+'Demand Base Matrix'!H$6)*$AC$2*$AD$2*$AE$2+('Demand Base Matrix'!H$3+'Demand Base Matrix'!H$4)*$W$2*$AD$2+'Demand Base Matrix'!H$5*$W$2*$AD$2*$AE$2+'Demand Base Matrix'!H$7+'Demand Base Matrix'!H$8*$AF$2),IF($C23="Integrate",(('Demand Base Matrix'!H$28+'Demand Base Matrix'!H$32)*$AC$2*$AD$2*$AE$2+('Demand Base Matrix'!H$29+'Demand Base Matrix'!H$30)*$W$2*$AD$2+'Demand Base Matrix'!H$31*$W$2*$AD$2*$AE$2+'Demand Base Matrix'!H$33+'Demand Base Matrix'!H$34*$AF$2),IF($C23="Bond",(('Demand Base Matrix'!H$55+'Demand Base Matrix'!H$59)*$AC$2*$AD$2*$AE$2+('Demand Base Matrix'!H$56+'Demand Base Matrix'!H$57)*$W$2*$AD$2+'Demand Base Matrix'!H$58*$W$2*$AD$2*$AE$2+'Demand Base Matrix'!H$60+'Demand Base Matrix'!H$61*$AF$2),IF($C23="Explore",('Demand Base Matrix'!H$82*$AC$2*$AD$2*$AE$2*$AF$2+'Demand Base Matrix'!H$83*$W$2*$AC$2*$AD$2*$AE$2*$AF$2+'Demand Base Matrix'!H$84)))))</f>
        <v>28</v>
      </c>
      <c r="AL23">
        <f>IF($C23="Validate",(('Demand Base Matrix'!I$2+'Demand Base Matrix'!I$6)*$AC$2*$AD$2*$AE$2+('Demand Base Matrix'!I$3+'Demand Base Matrix'!I$4)*$W$2*$AD$2+'Demand Base Matrix'!I$5*$W$2*$AD$2*$AE$2+'Demand Base Matrix'!I$7+'Demand Base Matrix'!I$8*$AF$2),IF($C23="Integrate",(('Demand Base Matrix'!I$28+'Demand Base Matrix'!I$32)*$AC$2*$AD$2*$AE$2+('Demand Base Matrix'!I$29+'Demand Base Matrix'!I$30)*$W$2*$AD$2+'Demand Base Matrix'!I$31*$W$2*$AD$2*$AE$2+'Demand Base Matrix'!I$33+'Demand Base Matrix'!I$34*$AF$2),IF($C23="Bond",(('Demand Base Matrix'!I$55+'Demand Base Matrix'!I$59)*$AC$2*$AD$2*$AE$2+('Demand Base Matrix'!I$56+'Demand Base Matrix'!I$57)*$W$2*$AD$2+'Demand Base Matrix'!I$58*$W$2*$AD$2*$AE$2+'Demand Base Matrix'!I$60+'Demand Base Matrix'!I$61*$AF$2),IF($C23="Explore",('Demand Base Matrix'!I$82*$AC$2*$AD$2*$AE$2*$AF$2+'Demand Base Matrix'!I$83*$W$2*$AC$2*$AD$2*$AE$2*$AF$2+'Demand Base Matrix'!I$84)))))</f>
        <v>8</v>
      </c>
      <c r="AM23">
        <f>IF($C23="Validate",(('Demand Base Matrix'!J$2+'Demand Base Matrix'!J$6)*$AC$2*$AD$2*$AE$2+('Demand Base Matrix'!J$3+'Demand Base Matrix'!J$4)*$W$2*$AD$2+'Demand Base Matrix'!J$5*$W$2*$AD$2*$AE$2+'Demand Base Matrix'!J$7+'Demand Base Matrix'!J$8*$AF$2),IF($C23="Integrate",(('Demand Base Matrix'!J$28+'Demand Base Matrix'!J$32)*$AC$2*$AD$2*$AE$2+('Demand Base Matrix'!J$29+'Demand Base Matrix'!J$30)*$W$2*$AD$2+'Demand Base Matrix'!J$31*$W$2*$AD$2*$AE$2+'Demand Base Matrix'!J$33+'Demand Base Matrix'!J$34*$AF$2),IF($C23="Bond",(('Demand Base Matrix'!J$55+'Demand Base Matrix'!J$59)*$AC$2*$AD$2*$AE$2+('Demand Base Matrix'!J$56+'Demand Base Matrix'!J$57)*$W$2*$AD$2+'Demand Base Matrix'!J$58*$W$2*$AD$2*$AE$2+'Demand Base Matrix'!J$60+'Demand Base Matrix'!J$61*$AF$2),IF($C23="Explore",('Demand Base Matrix'!J$82*$AC$2*$AD$2*$AE$2*$AF$2+'Demand Base Matrix'!J$83*$W$2*$AC$2*$AD$2*$AE$2*$AF$2+'Demand Base Matrix'!J$84)))))</f>
        <v>8</v>
      </c>
      <c r="AP23" s="5"/>
      <c r="AQ23" s="5"/>
      <c r="AR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</row>
    <row r="24" spans="1:95" x14ac:dyDescent="0.2">
      <c r="A24" t="s">
        <v>738</v>
      </c>
      <c r="B24" t="s">
        <v>54</v>
      </c>
      <c r="C24" t="s">
        <v>32</v>
      </c>
      <c r="D24" t="s">
        <v>207</v>
      </c>
      <c r="E24" t="s">
        <v>119</v>
      </c>
      <c r="F24" t="s">
        <v>189</v>
      </c>
      <c r="I24" t="str">
        <f>IFERROR(INDEX('Customer 360'!F:F,MATCH(B24,'Customer 360'!A:A,0)),"-")</f>
        <v>A</v>
      </c>
      <c r="J24">
        <v>41600</v>
      </c>
      <c r="K24"/>
      <c r="L24" s="4"/>
      <c r="M24" s="4">
        <v>46326</v>
      </c>
      <c r="N24">
        <v>2026</v>
      </c>
      <c r="O24" s="4">
        <v>46023</v>
      </c>
      <c r="P24" t="s">
        <v>217</v>
      </c>
      <c r="Q24" s="18">
        <f t="shared" si="0"/>
        <v>46023</v>
      </c>
      <c r="R24" s="18">
        <f>IFERROR(IF(M24&lt;&gt;"",M24,IF(L24&lt;&gt;"",L24,INDEX('CSM RDD'!B:B,MATCH(B24,'CSM RDD'!A:A,0)))),"-")</f>
        <v>46326</v>
      </c>
      <c r="S24" s="18">
        <f t="shared" si="7"/>
        <v>46023</v>
      </c>
      <c r="T24" s="18">
        <f t="shared" si="8"/>
        <v>46296</v>
      </c>
      <c r="U24" s="6">
        <f t="shared" si="9"/>
        <v>41600</v>
      </c>
      <c r="V24" s="18">
        <f t="shared" si="2"/>
        <v>46082</v>
      </c>
      <c r="W24">
        <f>IF(U24=0,1,IF(U24&lt;='Demand Base Matrix'!$K$3,'Demand Base Matrix'!$L$3,IF(U24&lt;='Demand Base Matrix'!$K$4,'Demand Base Matrix'!$L$4,IF(U24&lt;='Demand Base Matrix'!$K$5,'Demand Base Matrix'!$L$5,IF(U24&lt;='Demand Base Matrix'!$K$6,'Demand Base Matrix'!$L$6,IF(U24&lt;='Demand Base Matrix'!$K$7,'Demand Base Matrix'!$L$7))))))</f>
        <v>2</v>
      </c>
      <c r="X24" s="4">
        <f t="shared" si="10"/>
        <v>46296</v>
      </c>
      <c r="Y24" t="str">
        <f t="shared" si="11"/>
        <v>Dx</v>
      </c>
      <c r="Z24" t="s">
        <v>685</v>
      </c>
      <c r="AA24" t="s">
        <v>682</v>
      </c>
      <c r="AB24" t="s">
        <v>685</v>
      </c>
      <c r="AC24">
        <f>IFERROR(INDEX('Demand Base Matrix'!AM:AM,MATCH(Y24,'Demand Base Matrix'!AL:AL,0)),"-")</f>
        <v>1</v>
      </c>
      <c r="AD24">
        <f>IFERROR(INDEX('Demand Base Matrix'!AO:AO,MATCH(Z24,'Demand Base Matrix'!AN:AN,0)),1)</f>
        <v>1</v>
      </c>
      <c r="AE24">
        <f>IFERROR(INDEX('Demand Base Matrix'!AQ:AQ,MATCH(AA24,'Demand Base Matrix'!AP:AP,0)),1)</f>
        <v>2</v>
      </c>
      <c r="AF24">
        <f>IFERROR(INDEX('Demand Base Matrix'!AS:AS,MATCH(AB24,'Demand Base Matrix'!AR:AR,0)),1)</f>
        <v>1</v>
      </c>
      <c r="AG24">
        <f>IF($C24="Validate",(('Demand Base Matrix'!D$2+'Demand Base Matrix'!D$6)*$AC$2*$AD$2*$AE$2+('Demand Base Matrix'!D$3+'Demand Base Matrix'!D$4)*$W$2*$AD$2+'Demand Base Matrix'!D$5*$W$2*$AD$2*$AE$2+'Demand Base Matrix'!D$7+'Demand Base Matrix'!D$8*$AF$2),IF($C24="Integrate",(('Demand Base Matrix'!D$28+'Demand Base Matrix'!D$32)*$AC$2*$AD$2*$AE$2+('Demand Base Matrix'!D$29+'Demand Base Matrix'!D$30)*$W$2*$AD$2+'Demand Base Matrix'!D$31*$W$2*$AD$2*$AE$2+'Demand Base Matrix'!D$33+'Demand Base Matrix'!D$34*$AF$2),IF($C24="Bond",(('Demand Base Matrix'!D$55+'Demand Base Matrix'!D$59)*$AC$2*$AD$2*$AE$2+('Demand Base Matrix'!D$56+'Demand Base Matrix'!D$57)*$W$2*$AD$2+'Demand Base Matrix'!D$58*$W$2*$AD$2*$AE$2+'Demand Base Matrix'!D$60+'Demand Base Matrix'!D$61*$AF$2),IF($C24="Explore",('Demand Base Matrix'!D$82*$AC$2*$AD$2*$AE$2*$AF$2+'Demand Base Matrix'!D$83*$W$2*$AC$2*$AD$2*$AE$2*$AF$2+'Demand Base Matrix'!D$84)))))</f>
        <v>10</v>
      </c>
      <c r="AH24">
        <f>IF($C24="Validate",(('Demand Base Matrix'!E$2+'Demand Base Matrix'!E$6)*$AC$2*$AD$2*$AE$2+('Demand Base Matrix'!E$3+'Demand Base Matrix'!E$4)*$W$2*$AD$2+'Demand Base Matrix'!E$5*$W$2*$AD$2*$AE$2+'Demand Base Matrix'!E$7+'Demand Base Matrix'!E$8*$AF$2),IF($C24="Integrate",(('Demand Base Matrix'!E$28+'Demand Base Matrix'!E$32)*$AC$2*$AD$2*$AE$2+('Demand Base Matrix'!E$29+'Demand Base Matrix'!E$30)*$W$2*$AD$2+'Demand Base Matrix'!E$31*$W$2*$AD$2*$AE$2+'Demand Base Matrix'!E$33+'Demand Base Matrix'!E$34*$AF$2),IF($C24="Bond",(('Demand Base Matrix'!E$55+'Demand Base Matrix'!E$59)*$AC$2*$AD$2*$AE$2+('Demand Base Matrix'!E$56+'Demand Base Matrix'!E$57)*$W$2*$AD$2+'Demand Base Matrix'!E$58*$W$2*$AD$2*$AE$2+'Demand Base Matrix'!E$60+'Demand Base Matrix'!E$61*$AF$2),IF($C24="Explore",('Demand Base Matrix'!E$82*$AC$2*$AD$2*$AE$2*$AF$2+'Demand Base Matrix'!E$83*$W$2*$AC$2*$AD$2*$AE$2*$AF$2+'Demand Base Matrix'!E$84)))))</f>
        <v>20</v>
      </c>
      <c r="AI24">
        <f>IF($C24="Validate",(('Demand Base Matrix'!F$2+'Demand Base Matrix'!F$6)*$AC$2*$AD$2*$AE$2+('Demand Base Matrix'!F$3+'Demand Base Matrix'!F$4)*$W$2*$AD$2+'Demand Base Matrix'!F$5*$W$2*$AD$2*$AE$2+'Demand Base Matrix'!F$7+'Demand Base Matrix'!F$8*$AF$2),IF($C24="Integrate",(('Demand Base Matrix'!F$28+'Demand Base Matrix'!F$32)*$AC$2*$AD$2*$AE$2+('Demand Base Matrix'!F$29+'Demand Base Matrix'!F$30)*$W$2*$AD$2+'Demand Base Matrix'!F$31*$W$2*$AD$2*$AE$2+'Demand Base Matrix'!F$33+'Demand Base Matrix'!F$34*$AF$2),IF($C24="Bond",(('Demand Base Matrix'!F$55+'Demand Base Matrix'!F$59)*$AC$2*$AD$2*$AE$2+('Demand Base Matrix'!F$56+'Demand Base Matrix'!F$57)*$W$2*$AD$2+'Demand Base Matrix'!F$58*$W$2*$AD$2*$AE$2+'Demand Base Matrix'!F$60+'Demand Base Matrix'!F$61*$AF$2),IF($C24="Explore",('Demand Base Matrix'!F$82*$AC$2*$AD$2*$AE$2*$AF$2+'Demand Base Matrix'!F$83*$W$2*$AC$2*$AD$2*$AE$2*$AF$2+'Demand Base Matrix'!F$84)))))</f>
        <v>10</v>
      </c>
      <c r="AJ24">
        <f>IF($C24="Validate",(('Demand Base Matrix'!G$2+'Demand Base Matrix'!G$6)*$AC$2*$AD$2*$AE$2+('Demand Base Matrix'!G$3+'Demand Base Matrix'!G$4)*$W$2*$AD$2+'Demand Base Matrix'!G$5*$W$2*$AD$2*$AE$2+'Demand Base Matrix'!G$7+'Demand Base Matrix'!G$8*$AF$2),IF($C24="Integrate",(('Demand Base Matrix'!G$28+'Demand Base Matrix'!G$32)*$AC$2*$AD$2*$AE$2+('Demand Base Matrix'!G$29+'Demand Base Matrix'!G$30)*$W$2*$AD$2+'Demand Base Matrix'!G$31*$W$2*$AD$2*$AE$2+'Demand Base Matrix'!G$33+'Demand Base Matrix'!G$34*$AF$2),IF($C24="Bond",(('Demand Base Matrix'!G$55+'Demand Base Matrix'!G$59)*$AC$2*$AD$2*$AE$2+('Demand Base Matrix'!G$56+'Demand Base Matrix'!G$57)*$W$2*$AD$2+'Demand Base Matrix'!G$58*$W$2*$AD$2*$AE$2+'Demand Base Matrix'!G$60+'Demand Base Matrix'!G$61*$AF$2),IF($C24="Explore",('Demand Base Matrix'!G$82*$AC$2*$AD$2*$AE$2*$AF$2+'Demand Base Matrix'!G$83*$W$2*$AC$2*$AD$2*$AE$2*$AF$2+'Demand Base Matrix'!G$84)))))</f>
        <v>60</v>
      </c>
      <c r="AK24">
        <f>IF($C24="Validate",(('Demand Base Matrix'!H$2+'Demand Base Matrix'!H$6)*$AC$2*$AD$2*$AE$2+('Demand Base Matrix'!H$3+'Demand Base Matrix'!H$4)*$W$2*$AD$2+'Demand Base Matrix'!H$5*$W$2*$AD$2*$AE$2+'Demand Base Matrix'!H$7+'Demand Base Matrix'!H$8*$AF$2),IF($C24="Integrate",(('Demand Base Matrix'!H$28+'Demand Base Matrix'!H$32)*$AC$2*$AD$2*$AE$2+('Demand Base Matrix'!H$29+'Demand Base Matrix'!H$30)*$W$2*$AD$2+'Demand Base Matrix'!H$31*$W$2*$AD$2*$AE$2+'Demand Base Matrix'!H$33+'Demand Base Matrix'!H$34*$AF$2),IF($C24="Bond",(('Demand Base Matrix'!H$55+'Demand Base Matrix'!H$59)*$AC$2*$AD$2*$AE$2+('Demand Base Matrix'!H$56+'Demand Base Matrix'!H$57)*$W$2*$AD$2+'Demand Base Matrix'!H$58*$W$2*$AD$2*$AE$2+'Demand Base Matrix'!H$60+'Demand Base Matrix'!H$61*$AF$2),IF($C24="Explore",('Demand Base Matrix'!H$82*$AC$2*$AD$2*$AE$2*$AF$2+'Demand Base Matrix'!H$83*$W$2*$AC$2*$AD$2*$AE$2*$AF$2+'Demand Base Matrix'!H$84)))))</f>
        <v>28</v>
      </c>
      <c r="AL24">
        <f>IF($C24="Validate",(('Demand Base Matrix'!I$2+'Demand Base Matrix'!I$6)*$AC$2*$AD$2*$AE$2+('Demand Base Matrix'!I$3+'Demand Base Matrix'!I$4)*$W$2*$AD$2+'Demand Base Matrix'!I$5*$W$2*$AD$2*$AE$2+'Demand Base Matrix'!I$7+'Demand Base Matrix'!I$8*$AF$2),IF($C24="Integrate",(('Demand Base Matrix'!I$28+'Demand Base Matrix'!I$32)*$AC$2*$AD$2*$AE$2+('Demand Base Matrix'!I$29+'Demand Base Matrix'!I$30)*$W$2*$AD$2+'Demand Base Matrix'!I$31*$W$2*$AD$2*$AE$2+'Demand Base Matrix'!I$33+'Demand Base Matrix'!I$34*$AF$2),IF($C24="Bond",(('Demand Base Matrix'!I$55+'Demand Base Matrix'!I$59)*$AC$2*$AD$2*$AE$2+('Demand Base Matrix'!I$56+'Demand Base Matrix'!I$57)*$W$2*$AD$2+'Demand Base Matrix'!I$58*$W$2*$AD$2*$AE$2+'Demand Base Matrix'!I$60+'Demand Base Matrix'!I$61*$AF$2),IF($C24="Explore",('Demand Base Matrix'!I$82*$AC$2*$AD$2*$AE$2*$AF$2+'Demand Base Matrix'!I$83*$W$2*$AC$2*$AD$2*$AE$2*$AF$2+'Demand Base Matrix'!I$84)))))</f>
        <v>8</v>
      </c>
      <c r="AM24">
        <f>IF($C24="Validate",(('Demand Base Matrix'!J$2+'Demand Base Matrix'!J$6)*$AC$2*$AD$2*$AE$2+('Demand Base Matrix'!J$3+'Demand Base Matrix'!J$4)*$W$2*$AD$2+'Demand Base Matrix'!J$5*$W$2*$AD$2*$AE$2+'Demand Base Matrix'!J$7+'Demand Base Matrix'!J$8*$AF$2),IF($C24="Integrate",(('Demand Base Matrix'!J$28+'Demand Base Matrix'!J$32)*$AC$2*$AD$2*$AE$2+('Demand Base Matrix'!J$29+'Demand Base Matrix'!J$30)*$W$2*$AD$2+'Demand Base Matrix'!J$31*$W$2*$AD$2*$AE$2+'Demand Base Matrix'!J$33+'Demand Base Matrix'!J$34*$AF$2),IF($C24="Bond",(('Demand Base Matrix'!J$55+'Demand Base Matrix'!J$59)*$AC$2*$AD$2*$AE$2+('Demand Base Matrix'!J$56+'Demand Base Matrix'!J$57)*$W$2*$AD$2+'Demand Base Matrix'!J$58*$W$2*$AD$2*$AE$2+'Demand Base Matrix'!J$60+'Demand Base Matrix'!J$61*$AF$2),IF($C24="Explore",('Demand Base Matrix'!J$82*$AC$2*$AD$2*$AE$2*$AF$2+'Demand Base Matrix'!J$83*$W$2*$AC$2*$AD$2*$AE$2*$AF$2+'Demand Base Matrix'!J$84)))))</f>
        <v>8</v>
      </c>
      <c r="AP24" s="5"/>
      <c r="AQ24" s="5"/>
      <c r="AR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</row>
    <row r="25" spans="1:95" x14ac:dyDescent="0.2">
      <c r="A25" t="s">
        <v>739</v>
      </c>
      <c r="B25" t="s">
        <v>56</v>
      </c>
      <c r="C25" t="s">
        <v>23</v>
      </c>
      <c r="D25" t="s">
        <v>53</v>
      </c>
      <c r="E25" t="s">
        <v>119</v>
      </c>
      <c r="F25" t="s">
        <v>187</v>
      </c>
      <c r="I25" t="str">
        <f>IFERROR(INDEX('Customer 360'!F:F,MATCH(B25,'Customer 360'!A:A,0)),"-")</f>
        <v>C</v>
      </c>
      <c r="J25"/>
      <c r="K25">
        <v>2967</v>
      </c>
      <c r="L25" s="4">
        <v>46303</v>
      </c>
      <c r="M25" s="4">
        <v>46303</v>
      </c>
      <c r="N25">
        <v>2026</v>
      </c>
      <c r="O25" s="4">
        <v>46023</v>
      </c>
      <c r="P25" t="s">
        <v>217</v>
      </c>
      <c r="Q25" s="18">
        <f t="shared" si="0"/>
        <v>46023</v>
      </c>
      <c r="R25" s="18">
        <f>IFERROR(IF(M25&lt;&gt;"",M25,IF(L25&lt;&gt;"",L25,INDEX('CSM RDD'!B:B,MATCH(B25,'CSM RDD'!A:A,0)))),"-")</f>
        <v>46303</v>
      </c>
      <c r="S25" s="18">
        <f t="shared" si="7"/>
        <v>46023</v>
      </c>
      <c r="T25" s="18">
        <f t="shared" si="8"/>
        <v>46296</v>
      </c>
      <c r="U25" s="6">
        <f t="shared" si="9"/>
        <v>2967</v>
      </c>
      <c r="V25" s="18">
        <f t="shared" si="2"/>
        <v>46082</v>
      </c>
      <c r="W25">
        <f>IF(U25=0,1,IF(U25&lt;='Demand Base Matrix'!$K$3,'Demand Base Matrix'!$L$3,IF(U25&lt;='Demand Base Matrix'!$K$4,'Demand Base Matrix'!$L$4,IF(U25&lt;='Demand Base Matrix'!$K$5,'Demand Base Matrix'!$L$5,IF(U25&lt;='Demand Base Matrix'!$K$6,'Demand Base Matrix'!$L$6,IF(U25&lt;='Demand Base Matrix'!$K$7,'Demand Base Matrix'!$L$7))))))</f>
        <v>1</v>
      </c>
      <c r="X25" s="4">
        <f t="shared" si="10"/>
        <v>46296</v>
      </c>
      <c r="Y25" t="str">
        <f t="shared" si="11"/>
        <v>Tx</v>
      </c>
      <c r="Z25" t="s">
        <v>685</v>
      </c>
      <c r="AA25" t="s">
        <v>684</v>
      </c>
      <c r="AB25" t="s">
        <v>685</v>
      </c>
      <c r="AC25">
        <f>IFERROR(INDEX('Demand Base Matrix'!AM:AM,MATCH(Y25,'Demand Base Matrix'!AL:AL,0)),"-")</f>
        <v>1.5</v>
      </c>
      <c r="AD25">
        <f>IFERROR(INDEX('Demand Base Matrix'!AO:AO,MATCH(Z25,'Demand Base Matrix'!AN:AN,0)),1)</f>
        <v>1</v>
      </c>
      <c r="AE25">
        <f>IFERROR(INDEX('Demand Base Matrix'!AQ:AQ,MATCH(AA25,'Demand Base Matrix'!AP:AP,0)),1)</f>
        <v>1.5</v>
      </c>
      <c r="AF25">
        <f>IFERROR(INDEX('Demand Base Matrix'!AS:AS,MATCH(AB25,'Demand Base Matrix'!AR:AR,0)),1)</f>
        <v>1</v>
      </c>
      <c r="AG25">
        <f>IF($C25="Validate",(('Demand Base Matrix'!D$2+'Demand Base Matrix'!D$6)*$AC$2*$AD$2*$AE$2+('Demand Base Matrix'!D$3+'Demand Base Matrix'!D$4)*$W$2*$AD$2+'Demand Base Matrix'!D$5*$W$2*$AD$2*$AE$2+'Demand Base Matrix'!D$7+'Demand Base Matrix'!D$8*$AF$2),IF($C25="Integrate",(('Demand Base Matrix'!D$28+'Demand Base Matrix'!D$32)*$AC$2*$AD$2*$AE$2+('Demand Base Matrix'!D$29+'Demand Base Matrix'!D$30)*$W$2*$AD$2+'Demand Base Matrix'!D$31*$W$2*$AD$2*$AE$2+'Demand Base Matrix'!D$33+'Demand Base Matrix'!D$34*$AF$2),IF($C25="Bond",(('Demand Base Matrix'!D$55+'Demand Base Matrix'!D$59)*$AC$2*$AD$2*$AE$2+('Demand Base Matrix'!D$56+'Demand Base Matrix'!D$57)*$W$2*$AD$2+'Demand Base Matrix'!D$58*$W$2*$AD$2*$AE$2+'Demand Base Matrix'!D$60+'Demand Base Matrix'!D$61*$AF$2),IF($C25="Explore",('Demand Base Matrix'!D$82*$AC$2*$AD$2*$AE$2*$AF$2+'Demand Base Matrix'!D$83*$W$2*$AC$2*$AD$2*$AE$2*$AF$2+'Demand Base Matrix'!D$84)))))</f>
        <v>10</v>
      </c>
      <c r="AH25">
        <f>IF($C25="Validate",(('Demand Base Matrix'!E$2+'Demand Base Matrix'!E$6)*$AC$2*$AD$2*$AE$2+('Demand Base Matrix'!E$3+'Demand Base Matrix'!E$4)*$W$2*$AD$2+'Demand Base Matrix'!E$5*$W$2*$AD$2*$AE$2+'Demand Base Matrix'!E$7+'Demand Base Matrix'!E$8*$AF$2),IF($C25="Integrate",(('Demand Base Matrix'!E$28+'Demand Base Matrix'!E$32)*$AC$2*$AD$2*$AE$2+('Demand Base Matrix'!E$29+'Demand Base Matrix'!E$30)*$W$2*$AD$2+'Demand Base Matrix'!E$31*$W$2*$AD$2*$AE$2+'Demand Base Matrix'!E$33+'Demand Base Matrix'!E$34*$AF$2),IF($C25="Bond",(('Demand Base Matrix'!E$55+'Demand Base Matrix'!E$59)*$AC$2*$AD$2*$AE$2+('Demand Base Matrix'!E$56+'Demand Base Matrix'!E$57)*$W$2*$AD$2+'Demand Base Matrix'!E$58*$W$2*$AD$2*$AE$2+'Demand Base Matrix'!E$60+'Demand Base Matrix'!E$61*$AF$2),IF($C25="Explore",('Demand Base Matrix'!E$82*$AC$2*$AD$2*$AE$2*$AF$2+'Demand Base Matrix'!E$83*$W$2*$AC$2*$AD$2*$AE$2*$AF$2+'Demand Base Matrix'!E$84)))))</f>
        <v>10</v>
      </c>
      <c r="AI25">
        <f>IF($C25="Validate",(('Demand Base Matrix'!F$2+'Demand Base Matrix'!F$6)*$AC$2*$AD$2*$AE$2+('Demand Base Matrix'!F$3+'Demand Base Matrix'!F$4)*$W$2*$AD$2+'Demand Base Matrix'!F$5*$W$2*$AD$2*$AE$2+'Demand Base Matrix'!F$7+'Demand Base Matrix'!F$8*$AF$2),IF($C25="Integrate",(('Demand Base Matrix'!F$28+'Demand Base Matrix'!F$32)*$AC$2*$AD$2*$AE$2+('Demand Base Matrix'!F$29+'Demand Base Matrix'!F$30)*$W$2*$AD$2+'Demand Base Matrix'!F$31*$W$2*$AD$2*$AE$2+'Demand Base Matrix'!F$33+'Demand Base Matrix'!F$34*$AF$2),IF($C25="Bond",(('Demand Base Matrix'!F$55+'Demand Base Matrix'!F$59)*$AC$2*$AD$2*$AE$2+('Demand Base Matrix'!F$56+'Demand Base Matrix'!F$57)*$W$2*$AD$2+'Demand Base Matrix'!F$58*$W$2*$AD$2*$AE$2+'Demand Base Matrix'!F$60+'Demand Base Matrix'!F$61*$AF$2),IF($C25="Explore",('Demand Base Matrix'!F$82*$AC$2*$AD$2*$AE$2*$AF$2+'Demand Base Matrix'!F$83*$W$2*$AC$2*$AD$2*$AE$2*$AF$2+'Demand Base Matrix'!F$84)))))</f>
        <v>10</v>
      </c>
      <c r="AJ25">
        <f>IF($C25="Validate",(('Demand Base Matrix'!G$2+'Demand Base Matrix'!G$6)*$AC$2*$AD$2*$AE$2+('Demand Base Matrix'!G$3+'Demand Base Matrix'!G$4)*$W$2*$AD$2+'Demand Base Matrix'!G$5*$W$2*$AD$2*$AE$2+'Demand Base Matrix'!G$7+'Demand Base Matrix'!G$8*$AF$2),IF($C25="Integrate",(('Demand Base Matrix'!G$28+'Demand Base Matrix'!G$32)*$AC$2*$AD$2*$AE$2+('Demand Base Matrix'!G$29+'Demand Base Matrix'!G$30)*$W$2*$AD$2+'Demand Base Matrix'!G$31*$W$2*$AD$2*$AE$2+'Demand Base Matrix'!G$33+'Demand Base Matrix'!G$34*$AF$2),IF($C25="Bond",(('Demand Base Matrix'!G$55+'Demand Base Matrix'!G$59)*$AC$2*$AD$2*$AE$2+('Demand Base Matrix'!G$56+'Demand Base Matrix'!G$57)*$W$2*$AD$2+'Demand Base Matrix'!G$58*$W$2*$AD$2*$AE$2+'Demand Base Matrix'!G$60+'Demand Base Matrix'!G$61*$AF$2),IF($C25="Explore",('Demand Base Matrix'!G$82*$AC$2*$AD$2*$AE$2*$AF$2+'Demand Base Matrix'!G$83*$W$2*$AC$2*$AD$2*$AE$2*$AF$2+'Demand Base Matrix'!G$84)))))</f>
        <v>50</v>
      </c>
      <c r="AK25">
        <f>IF($C25="Validate",(('Demand Base Matrix'!H$2+'Demand Base Matrix'!H$6)*$AC$2*$AD$2*$AE$2+('Demand Base Matrix'!H$3+'Demand Base Matrix'!H$4)*$W$2*$AD$2+'Demand Base Matrix'!H$5*$W$2*$AD$2*$AE$2+'Demand Base Matrix'!H$7+'Demand Base Matrix'!H$8*$AF$2),IF($C25="Integrate",(('Demand Base Matrix'!H$28+'Demand Base Matrix'!H$32)*$AC$2*$AD$2*$AE$2+('Demand Base Matrix'!H$29+'Demand Base Matrix'!H$30)*$W$2*$AD$2+'Demand Base Matrix'!H$31*$W$2*$AD$2*$AE$2+'Demand Base Matrix'!H$33+'Demand Base Matrix'!H$34*$AF$2),IF($C25="Bond",(('Demand Base Matrix'!H$55+'Demand Base Matrix'!H$59)*$AC$2*$AD$2*$AE$2+('Demand Base Matrix'!H$56+'Demand Base Matrix'!H$57)*$W$2*$AD$2+'Demand Base Matrix'!H$58*$W$2*$AD$2*$AE$2+'Demand Base Matrix'!H$60+'Demand Base Matrix'!H$61*$AF$2),IF($C25="Explore",('Demand Base Matrix'!H$82*$AC$2*$AD$2*$AE$2*$AF$2+'Demand Base Matrix'!H$83*$W$2*$AC$2*$AD$2*$AE$2*$AF$2+'Demand Base Matrix'!H$84)))))</f>
        <v>28</v>
      </c>
      <c r="AL25">
        <f>IF($C25="Validate",(('Demand Base Matrix'!I$2+'Demand Base Matrix'!I$6)*$AC$2*$AD$2*$AE$2+('Demand Base Matrix'!I$3+'Demand Base Matrix'!I$4)*$W$2*$AD$2+'Demand Base Matrix'!I$5*$W$2*$AD$2*$AE$2+'Demand Base Matrix'!I$7+'Demand Base Matrix'!I$8*$AF$2),IF($C25="Integrate",(('Demand Base Matrix'!I$28+'Demand Base Matrix'!I$32)*$AC$2*$AD$2*$AE$2+('Demand Base Matrix'!I$29+'Demand Base Matrix'!I$30)*$W$2*$AD$2+'Demand Base Matrix'!I$31*$W$2*$AD$2*$AE$2+'Demand Base Matrix'!I$33+'Demand Base Matrix'!I$34*$AF$2),IF($C25="Bond",(('Demand Base Matrix'!I$55+'Demand Base Matrix'!I$59)*$AC$2*$AD$2*$AE$2+('Demand Base Matrix'!I$56+'Demand Base Matrix'!I$57)*$W$2*$AD$2+'Demand Base Matrix'!I$58*$W$2*$AD$2*$AE$2+'Demand Base Matrix'!I$60+'Demand Base Matrix'!I$61*$AF$2),IF($C25="Explore",('Demand Base Matrix'!I$82*$AC$2*$AD$2*$AE$2*$AF$2+'Demand Base Matrix'!I$83*$W$2*$AC$2*$AD$2*$AE$2*$AF$2+'Demand Base Matrix'!I$84)))))</f>
        <v>8</v>
      </c>
      <c r="AM25">
        <f>IF($C25="Validate",(('Demand Base Matrix'!J$2+'Demand Base Matrix'!J$6)*$AC$2*$AD$2*$AE$2+('Demand Base Matrix'!J$3+'Demand Base Matrix'!J$4)*$W$2*$AD$2+'Demand Base Matrix'!J$5*$W$2*$AD$2*$AE$2+'Demand Base Matrix'!J$7+'Demand Base Matrix'!J$8*$AF$2),IF($C25="Integrate",(('Demand Base Matrix'!J$28+'Demand Base Matrix'!J$32)*$AC$2*$AD$2*$AE$2+('Demand Base Matrix'!J$29+'Demand Base Matrix'!J$30)*$W$2*$AD$2+'Demand Base Matrix'!J$31*$W$2*$AD$2*$AE$2+'Demand Base Matrix'!J$33+'Demand Base Matrix'!J$34*$AF$2),IF($C25="Bond",(('Demand Base Matrix'!J$55+'Demand Base Matrix'!J$59)*$AC$2*$AD$2*$AE$2+('Demand Base Matrix'!J$56+'Demand Base Matrix'!J$57)*$W$2*$AD$2+'Demand Base Matrix'!J$58*$W$2*$AD$2*$AE$2+'Demand Base Matrix'!J$60+'Demand Base Matrix'!J$61*$AF$2),IF($C25="Explore",('Demand Base Matrix'!J$82*$AC$2*$AD$2*$AE$2*$AF$2+'Demand Base Matrix'!J$83*$W$2*$AC$2*$AD$2*$AE$2*$AF$2+'Demand Base Matrix'!J$84)))))</f>
        <v>8</v>
      </c>
      <c r="AP25" s="5"/>
      <c r="AQ25" s="5"/>
      <c r="AR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</row>
    <row r="26" spans="1:95" x14ac:dyDescent="0.2">
      <c r="A26" t="s">
        <v>740</v>
      </c>
      <c r="B26" t="s">
        <v>58</v>
      </c>
      <c r="C26" t="s">
        <v>23</v>
      </c>
      <c r="D26" t="s">
        <v>694</v>
      </c>
      <c r="E26" t="s">
        <v>119</v>
      </c>
      <c r="F26" t="s">
        <v>184</v>
      </c>
      <c r="I26" t="str">
        <f>IFERROR(INDEX('Customer 360'!F:F,MATCH(B26,'Customer 360'!A:A,0)),"-")</f>
        <v>C</v>
      </c>
      <c r="J26">
        <v>5025</v>
      </c>
      <c r="K26">
        <v>300</v>
      </c>
      <c r="L26" s="4">
        <v>46300</v>
      </c>
      <c r="M26" s="4">
        <v>46300</v>
      </c>
      <c r="N26">
        <v>2026</v>
      </c>
      <c r="O26" s="4">
        <v>46023</v>
      </c>
      <c r="P26" t="s">
        <v>217</v>
      </c>
      <c r="Q26" s="18">
        <f t="shared" si="0"/>
        <v>46023</v>
      </c>
      <c r="R26" s="18">
        <f>IFERROR(IF(M26&lt;&gt;"",M26,IF(L26&lt;&gt;"",L26,INDEX('CSM RDD'!B:B,MATCH(B26,'CSM RDD'!A:A,0)))),"-")</f>
        <v>46300</v>
      </c>
      <c r="S26" s="18">
        <f t="shared" si="7"/>
        <v>46023</v>
      </c>
      <c r="T26" s="18">
        <f t="shared" si="8"/>
        <v>46296</v>
      </c>
      <c r="U26" s="6">
        <f t="shared" si="9"/>
        <v>5325</v>
      </c>
      <c r="V26" s="18">
        <f t="shared" si="2"/>
        <v>46082</v>
      </c>
      <c r="W26">
        <f>IF(U26=0,1,IF(U26&lt;='Demand Base Matrix'!$K$3,'Demand Base Matrix'!$L$3,IF(U26&lt;='Demand Base Matrix'!$K$4,'Demand Base Matrix'!$L$4,IF(U26&lt;='Demand Base Matrix'!$K$5,'Demand Base Matrix'!$L$5,IF(U26&lt;='Demand Base Matrix'!$K$6,'Demand Base Matrix'!$L$6,IF(U26&lt;='Demand Base Matrix'!$K$7,'Demand Base Matrix'!$L$7))))))</f>
        <v>1.25</v>
      </c>
      <c r="X26" s="4">
        <f t="shared" si="10"/>
        <v>46296</v>
      </c>
      <c r="Y26" t="str">
        <f t="shared" si="11"/>
        <v>Tx</v>
      </c>
      <c r="Z26" t="s">
        <v>685</v>
      </c>
      <c r="AA26" t="s">
        <v>684</v>
      </c>
      <c r="AB26" t="s">
        <v>685</v>
      </c>
      <c r="AC26">
        <f>IFERROR(INDEX('Demand Base Matrix'!AM:AM,MATCH(Y26,'Demand Base Matrix'!AL:AL,0)),"-")</f>
        <v>1.5</v>
      </c>
      <c r="AD26">
        <f>IFERROR(INDEX('Demand Base Matrix'!AO:AO,MATCH(Z26,'Demand Base Matrix'!AN:AN,0)),1)</f>
        <v>1</v>
      </c>
      <c r="AE26">
        <f>IFERROR(INDEX('Demand Base Matrix'!AQ:AQ,MATCH(AA26,'Demand Base Matrix'!AP:AP,0)),1)</f>
        <v>1.5</v>
      </c>
      <c r="AF26">
        <f>IFERROR(INDEX('Demand Base Matrix'!AS:AS,MATCH(AB26,'Demand Base Matrix'!AR:AR,0)),1)</f>
        <v>1</v>
      </c>
      <c r="AG26">
        <f>IF($C26="Validate",(('Demand Base Matrix'!D$2+'Demand Base Matrix'!D$6)*$AC$2*$AD$2*$AE$2+('Demand Base Matrix'!D$3+'Demand Base Matrix'!D$4)*$W$2*$AD$2+'Demand Base Matrix'!D$5*$W$2*$AD$2*$AE$2+'Demand Base Matrix'!D$7+'Demand Base Matrix'!D$8*$AF$2),IF($C26="Integrate",(('Demand Base Matrix'!D$28+'Demand Base Matrix'!D$32)*$AC$2*$AD$2*$AE$2+('Demand Base Matrix'!D$29+'Demand Base Matrix'!D$30)*$W$2*$AD$2+'Demand Base Matrix'!D$31*$W$2*$AD$2*$AE$2+'Demand Base Matrix'!D$33+'Demand Base Matrix'!D$34*$AF$2),IF($C26="Bond",(('Demand Base Matrix'!D$55+'Demand Base Matrix'!D$59)*$AC$2*$AD$2*$AE$2+('Demand Base Matrix'!D$56+'Demand Base Matrix'!D$57)*$W$2*$AD$2+'Demand Base Matrix'!D$58*$W$2*$AD$2*$AE$2+'Demand Base Matrix'!D$60+'Demand Base Matrix'!D$61*$AF$2),IF($C26="Explore",('Demand Base Matrix'!D$82*$AC$2*$AD$2*$AE$2*$AF$2+'Demand Base Matrix'!D$83*$W$2*$AC$2*$AD$2*$AE$2*$AF$2+'Demand Base Matrix'!D$84)))))</f>
        <v>10</v>
      </c>
      <c r="AH26">
        <f>IF($C26="Validate",(('Demand Base Matrix'!E$2+'Demand Base Matrix'!E$6)*$AC$2*$AD$2*$AE$2+('Demand Base Matrix'!E$3+'Demand Base Matrix'!E$4)*$W$2*$AD$2+'Demand Base Matrix'!E$5*$W$2*$AD$2*$AE$2+'Demand Base Matrix'!E$7+'Demand Base Matrix'!E$8*$AF$2),IF($C26="Integrate",(('Demand Base Matrix'!E$28+'Demand Base Matrix'!E$32)*$AC$2*$AD$2*$AE$2+('Demand Base Matrix'!E$29+'Demand Base Matrix'!E$30)*$W$2*$AD$2+'Demand Base Matrix'!E$31*$W$2*$AD$2*$AE$2+'Demand Base Matrix'!E$33+'Demand Base Matrix'!E$34*$AF$2),IF($C26="Bond",(('Demand Base Matrix'!E$55+'Demand Base Matrix'!E$59)*$AC$2*$AD$2*$AE$2+('Demand Base Matrix'!E$56+'Demand Base Matrix'!E$57)*$W$2*$AD$2+'Demand Base Matrix'!E$58*$W$2*$AD$2*$AE$2+'Demand Base Matrix'!E$60+'Demand Base Matrix'!E$61*$AF$2),IF($C26="Explore",('Demand Base Matrix'!E$82*$AC$2*$AD$2*$AE$2*$AF$2+'Demand Base Matrix'!E$83*$W$2*$AC$2*$AD$2*$AE$2*$AF$2+'Demand Base Matrix'!E$84)))))</f>
        <v>10</v>
      </c>
      <c r="AI26">
        <f>IF($C26="Validate",(('Demand Base Matrix'!F$2+'Demand Base Matrix'!F$6)*$AC$2*$AD$2*$AE$2+('Demand Base Matrix'!F$3+'Demand Base Matrix'!F$4)*$W$2*$AD$2+'Demand Base Matrix'!F$5*$W$2*$AD$2*$AE$2+'Demand Base Matrix'!F$7+'Demand Base Matrix'!F$8*$AF$2),IF($C26="Integrate",(('Demand Base Matrix'!F$28+'Demand Base Matrix'!F$32)*$AC$2*$AD$2*$AE$2+('Demand Base Matrix'!F$29+'Demand Base Matrix'!F$30)*$W$2*$AD$2+'Demand Base Matrix'!F$31*$W$2*$AD$2*$AE$2+'Demand Base Matrix'!F$33+'Demand Base Matrix'!F$34*$AF$2),IF($C26="Bond",(('Demand Base Matrix'!F$55+'Demand Base Matrix'!F$59)*$AC$2*$AD$2*$AE$2+('Demand Base Matrix'!F$56+'Demand Base Matrix'!F$57)*$W$2*$AD$2+'Demand Base Matrix'!F$58*$W$2*$AD$2*$AE$2+'Demand Base Matrix'!F$60+'Demand Base Matrix'!F$61*$AF$2),IF($C26="Explore",('Demand Base Matrix'!F$82*$AC$2*$AD$2*$AE$2*$AF$2+'Demand Base Matrix'!F$83*$W$2*$AC$2*$AD$2*$AE$2*$AF$2+'Demand Base Matrix'!F$84)))))</f>
        <v>10</v>
      </c>
      <c r="AJ26">
        <f>IF($C26="Validate",(('Demand Base Matrix'!G$2+'Demand Base Matrix'!G$6)*$AC$2*$AD$2*$AE$2+('Demand Base Matrix'!G$3+'Demand Base Matrix'!G$4)*$W$2*$AD$2+'Demand Base Matrix'!G$5*$W$2*$AD$2*$AE$2+'Demand Base Matrix'!G$7+'Demand Base Matrix'!G$8*$AF$2),IF($C26="Integrate",(('Demand Base Matrix'!G$28+'Demand Base Matrix'!G$32)*$AC$2*$AD$2*$AE$2+('Demand Base Matrix'!G$29+'Demand Base Matrix'!G$30)*$W$2*$AD$2+'Demand Base Matrix'!G$31*$W$2*$AD$2*$AE$2+'Demand Base Matrix'!G$33+'Demand Base Matrix'!G$34*$AF$2),IF($C26="Bond",(('Demand Base Matrix'!G$55+'Demand Base Matrix'!G$59)*$AC$2*$AD$2*$AE$2+('Demand Base Matrix'!G$56+'Demand Base Matrix'!G$57)*$W$2*$AD$2+'Demand Base Matrix'!G$58*$W$2*$AD$2*$AE$2+'Demand Base Matrix'!G$60+'Demand Base Matrix'!G$61*$AF$2),IF($C26="Explore",('Demand Base Matrix'!G$82*$AC$2*$AD$2*$AE$2*$AF$2+'Demand Base Matrix'!G$83*$W$2*$AC$2*$AD$2*$AE$2*$AF$2+'Demand Base Matrix'!G$84)))))</f>
        <v>50</v>
      </c>
      <c r="AK26">
        <f>IF($C26="Validate",(('Demand Base Matrix'!H$2+'Demand Base Matrix'!H$6)*$AC$2*$AD$2*$AE$2+('Demand Base Matrix'!H$3+'Demand Base Matrix'!H$4)*$W$2*$AD$2+'Demand Base Matrix'!H$5*$W$2*$AD$2*$AE$2+'Demand Base Matrix'!H$7+'Demand Base Matrix'!H$8*$AF$2),IF($C26="Integrate",(('Demand Base Matrix'!H$28+'Demand Base Matrix'!H$32)*$AC$2*$AD$2*$AE$2+('Demand Base Matrix'!H$29+'Demand Base Matrix'!H$30)*$W$2*$AD$2+'Demand Base Matrix'!H$31*$W$2*$AD$2*$AE$2+'Demand Base Matrix'!H$33+'Demand Base Matrix'!H$34*$AF$2),IF($C26="Bond",(('Demand Base Matrix'!H$55+'Demand Base Matrix'!H$59)*$AC$2*$AD$2*$AE$2+('Demand Base Matrix'!H$56+'Demand Base Matrix'!H$57)*$W$2*$AD$2+'Demand Base Matrix'!H$58*$W$2*$AD$2*$AE$2+'Demand Base Matrix'!H$60+'Demand Base Matrix'!H$61*$AF$2),IF($C26="Explore",('Demand Base Matrix'!H$82*$AC$2*$AD$2*$AE$2*$AF$2+'Demand Base Matrix'!H$83*$W$2*$AC$2*$AD$2*$AE$2*$AF$2+'Demand Base Matrix'!H$84)))))</f>
        <v>28</v>
      </c>
      <c r="AL26">
        <f>IF($C26="Validate",(('Demand Base Matrix'!I$2+'Demand Base Matrix'!I$6)*$AC$2*$AD$2*$AE$2+('Demand Base Matrix'!I$3+'Demand Base Matrix'!I$4)*$W$2*$AD$2+'Demand Base Matrix'!I$5*$W$2*$AD$2*$AE$2+'Demand Base Matrix'!I$7+'Demand Base Matrix'!I$8*$AF$2),IF($C26="Integrate",(('Demand Base Matrix'!I$28+'Demand Base Matrix'!I$32)*$AC$2*$AD$2*$AE$2+('Demand Base Matrix'!I$29+'Demand Base Matrix'!I$30)*$W$2*$AD$2+'Demand Base Matrix'!I$31*$W$2*$AD$2*$AE$2+'Demand Base Matrix'!I$33+'Demand Base Matrix'!I$34*$AF$2),IF($C26="Bond",(('Demand Base Matrix'!I$55+'Demand Base Matrix'!I$59)*$AC$2*$AD$2*$AE$2+('Demand Base Matrix'!I$56+'Demand Base Matrix'!I$57)*$W$2*$AD$2+'Demand Base Matrix'!I$58*$W$2*$AD$2*$AE$2+'Demand Base Matrix'!I$60+'Demand Base Matrix'!I$61*$AF$2),IF($C26="Explore",('Demand Base Matrix'!I$82*$AC$2*$AD$2*$AE$2*$AF$2+'Demand Base Matrix'!I$83*$W$2*$AC$2*$AD$2*$AE$2*$AF$2+'Demand Base Matrix'!I$84)))))</f>
        <v>8</v>
      </c>
      <c r="AM26">
        <f>IF($C26="Validate",(('Demand Base Matrix'!J$2+'Demand Base Matrix'!J$6)*$AC$2*$AD$2*$AE$2+('Demand Base Matrix'!J$3+'Demand Base Matrix'!J$4)*$W$2*$AD$2+'Demand Base Matrix'!J$5*$W$2*$AD$2*$AE$2+'Demand Base Matrix'!J$7+'Demand Base Matrix'!J$8*$AF$2),IF($C26="Integrate",(('Demand Base Matrix'!J$28+'Demand Base Matrix'!J$32)*$AC$2*$AD$2*$AE$2+('Demand Base Matrix'!J$29+'Demand Base Matrix'!J$30)*$W$2*$AD$2+'Demand Base Matrix'!J$31*$W$2*$AD$2*$AE$2+'Demand Base Matrix'!J$33+'Demand Base Matrix'!J$34*$AF$2),IF($C26="Bond",(('Demand Base Matrix'!J$55+'Demand Base Matrix'!J$59)*$AC$2*$AD$2*$AE$2+('Demand Base Matrix'!J$56+'Demand Base Matrix'!J$57)*$W$2*$AD$2+'Demand Base Matrix'!J$58*$W$2*$AD$2*$AE$2+'Demand Base Matrix'!J$60+'Demand Base Matrix'!J$61*$AF$2),IF($C26="Explore",('Demand Base Matrix'!J$82*$AC$2*$AD$2*$AE$2*$AF$2+'Demand Base Matrix'!J$83*$W$2*$AC$2*$AD$2*$AE$2*$AF$2+'Demand Base Matrix'!J$84)))))</f>
        <v>8</v>
      </c>
      <c r="AP26" s="5"/>
      <c r="AQ26" s="5"/>
      <c r="AR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</row>
    <row r="27" spans="1:95" x14ac:dyDescent="0.2">
      <c r="A27" t="s">
        <v>827</v>
      </c>
      <c r="B27" t="s">
        <v>59</v>
      </c>
      <c r="C27" t="s">
        <v>20</v>
      </c>
      <c r="D27" t="s">
        <v>60</v>
      </c>
      <c r="E27" t="s">
        <v>119</v>
      </c>
      <c r="F27" t="s">
        <v>189</v>
      </c>
      <c r="I27" t="str">
        <f>IFERROR(INDEX('Customer 360'!F:F,MATCH(B27,'Customer 360'!A:A,0)),"-")</f>
        <v>A</v>
      </c>
      <c r="J27">
        <v>4600</v>
      </c>
      <c r="K27"/>
      <c r="L27" s="4">
        <v>46211</v>
      </c>
      <c r="M27" s="4">
        <v>46211</v>
      </c>
      <c r="N27">
        <v>2026</v>
      </c>
      <c r="O27" s="4">
        <v>46023</v>
      </c>
      <c r="P27" t="s">
        <v>217</v>
      </c>
      <c r="Q27" s="18">
        <f t="shared" si="0"/>
        <v>46023</v>
      </c>
      <c r="R27" s="18">
        <f>IFERROR(IF(M27&lt;&gt;"",M27,IF(L27&lt;&gt;"",L27,INDEX('CSM RDD'!B:B,MATCH(B27,'CSM RDD'!A:A,0)))),"-")</f>
        <v>46211</v>
      </c>
      <c r="S27" s="18">
        <f t="shared" si="7"/>
        <v>46023</v>
      </c>
      <c r="T27" s="18">
        <f t="shared" si="8"/>
        <v>46204</v>
      </c>
      <c r="U27" s="6">
        <f t="shared" si="9"/>
        <v>4600</v>
      </c>
      <c r="V27" s="18">
        <f t="shared" si="2"/>
        <v>46023</v>
      </c>
      <c r="W27">
        <f>IF(U27=0,1,IF(U27&lt;='Demand Base Matrix'!$K$3,'Demand Base Matrix'!$L$3,IF(U27&lt;='Demand Base Matrix'!$K$4,'Demand Base Matrix'!$L$4,IF(U27&lt;='Demand Base Matrix'!$K$5,'Demand Base Matrix'!$L$5,IF(U27&lt;='Demand Base Matrix'!$K$6,'Demand Base Matrix'!$L$6,IF(U27&lt;='Demand Base Matrix'!$K$7,'Demand Base Matrix'!$L$7))))))</f>
        <v>1</v>
      </c>
      <c r="X27" s="4">
        <f t="shared" si="10"/>
        <v>46204</v>
      </c>
      <c r="Y27" t="str">
        <f t="shared" si="11"/>
        <v>Dx</v>
      </c>
      <c r="Z27" t="s">
        <v>685</v>
      </c>
      <c r="AA27" t="s">
        <v>685</v>
      </c>
      <c r="AB27" t="s">
        <v>685</v>
      </c>
      <c r="AC27">
        <f>IFERROR(INDEX('Demand Base Matrix'!AM:AM,MATCH(Y27,'Demand Base Matrix'!AL:AL,0)),"-")</f>
        <v>1</v>
      </c>
      <c r="AD27">
        <f>IFERROR(INDEX('Demand Base Matrix'!AO:AO,MATCH(Z27,'Demand Base Matrix'!AN:AN,0)),1)</f>
        <v>1</v>
      </c>
      <c r="AE27">
        <f>IFERROR(INDEX('Demand Base Matrix'!AQ:AQ,MATCH(AA27,'Demand Base Matrix'!AP:AP,0)),1)</f>
        <v>1</v>
      </c>
      <c r="AF27">
        <f>IFERROR(INDEX('Demand Base Matrix'!AS:AS,MATCH(AB27,'Demand Base Matrix'!AR:AR,0)),1)</f>
        <v>1</v>
      </c>
      <c r="AG27">
        <f>IF($C27="Validate",(('Demand Base Matrix'!D$2+'Demand Base Matrix'!D$6)*$AC$2*$AD$2*$AE$2+('Demand Base Matrix'!D$3+'Demand Base Matrix'!D$4)*$W$2*$AD$2+'Demand Base Matrix'!D$5*$W$2*$AD$2*$AE$2+'Demand Base Matrix'!D$7+'Demand Base Matrix'!D$8*$AF$2),IF($C27="Integrate",(('Demand Base Matrix'!D$28+'Demand Base Matrix'!D$32)*$AC$2*$AD$2*$AE$2+('Demand Base Matrix'!D$29+'Demand Base Matrix'!D$30)*$W$2*$AD$2+'Demand Base Matrix'!D$31*$W$2*$AD$2*$AE$2+'Demand Base Matrix'!D$33+'Demand Base Matrix'!D$34*$AF$2),IF($C27="Bond",(('Demand Base Matrix'!D$55+'Demand Base Matrix'!D$59)*$AC$2*$AD$2*$AE$2+('Demand Base Matrix'!D$56+'Demand Base Matrix'!D$57)*$W$2*$AD$2+'Demand Base Matrix'!D$58*$W$2*$AD$2*$AE$2+'Demand Base Matrix'!D$60+'Demand Base Matrix'!D$61*$AF$2),IF($C27="Explore",('Demand Base Matrix'!D$82*$AC$2*$AD$2*$AE$2*$AF$2+'Demand Base Matrix'!D$83*$W$2*$AC$2*$AD$2*$AE$2*$AF$2+'Demand Base Matrix'!D$84)))))</f>
        <v>15</v>
      </c>
      <c r="AH27">
        <f>IF($C27="Validate",(('Demand Base Matrix'!E$2+'Demand Base Matrix'!E$6)*$AC$2*$AD$2*$AE$2+('Demand Base Matrix'!E$3+'Demand Base Matrix'!E$4)*$W$2*$AD$2+'Demand Base Matrix'!E$5*$W$2*$AD$2*$AE$2+'Demand Base Matrix'!E$7+'Demand Base Matrix'!E$8*$AF$2),IF($C27="Integrate",(('Demand Base Matrix'!E$28+'Demand Base Matrix'!E$32)*$AC$2*$AD$2*$AE$2+('Demand Base Matrix'!E$29+'Demand Base Matrix'!E$30)*$W$2*$AD$2+'Demand Base Matrix'!E$31*$W$2*$AD$2*$AE$2+'Demand Base Matrix'!E$33+'Demand Base Matrix'!E$34*$AF$2),IF($C27="Bond",(('Demand Base Matrix'!E$55+'Demand Base Matrix'!E$59)*$AC$2*$AD$2*$AE$2+('Demand Base Matrix'!E$56+'Demand Base Matrix'!E$57)*$W$2*$AD$2+'Demand Base Matrix'!E$58*$W$2*$AD$2*$AE$2+'Demand Base Matrix'!E$60+'Demand Base Matrix'!E$61*$AF$2),IF($C27="Explore",('Demand Base Matrix'!E$82*$AC$2*$AD$2*$AE$2*$AF$2+'Demand Base Matrix'!E$83*$W$2*$AC$2*$AD$2*$AE$2*$AF$2+'Demand Base Matrix'!E$84)))))</f>
        <v>15</v>
      </c>
      <c r="AI27">
        <f>IF($C27="Validate",(('Demand Base Matrix'!F$2+'Demand Base Matrix'!F$6)*$AC$2*$AD$2*$AE$2+('Demand Base Matrix'!F$3+'Demand Base Matrix'!F$4)*$W$2*$AD$2+'Demand Base Matrix'!F$5*$W$2*$AD$2*$AE$2+'Demand Base Matrix'!F$7+'Demand Base Matrix'!F$8*$AF$2),IF($C27="Integrate",(('Demand Base Matrix'!F$28+'Demand Base Matrix'!F$32)*$AC$2*$AD$2*$AE$2+('Demand Base Matrix'!F$29+'Demand Base Matrix'!F$30)*$W$2*$AD$2+'Demand Base Matrix'!F$31*$W$2*$AD$2*$AE$2+'Demand Base Matrix'!F$33+'Demand Base Matrix'!F$34*$AF$2),IF($C27="Bond",(('Demand Base Matrix'!F$55+'Demand Base Matrix'!F$59)*$AC$2*$AD$2*$AE$2+('Demand Base Matrix'!F$56+'Demand Base Matrix'!F$57)*$W$2*$AD$2+'Demand Base Matrix'!F$58*$W$2*$AD$2*$AE$2+'Demand Base Matrix'!F$60+'Demand Base Matrix'!F$61*$AF$2),IF($C27="Explore",('Demand Base Matrix'!F$82*$AC$2*$AD$2*$AE$2*$AF$2+'Demand Base Matrix'!F$83*$W$2*$AC$2*$AD$2*$AE$2*$AF$2+'Demand Base Matrix'!F$84)))))</f>
        <v>7</v>
      </c>
      <c r="AJ27">
        <f>IF($C27="Validate",(('Demand Base Matrix'!G$2+'Demand Base Matrix'!G$6)*$AC$2*$AD$2*$AE$2+('Demand Base Matrix'!G$3+'Demand Base Matrix'!G$4)*$W$2*$AD$2+'Demand Base Matrix'!G$5*$W$2*$AD$2*$AE$2+'Demand Base Matrix'!G$7+'Demand Base Matrix'!G$8*$AF$2),IF($C27="Integrate",(('Demand Base Matrix'!G$28+'Demand Base Matrix'!G$32)*$AC$2*$AD$2*$AE$2+('Demand Base Matrix'!G$29+'Demand Base Matrix'!G$30)*$W$2*$AD$2+'Demand Base Matrix'!G$31*$W$2*$AD$2*$AE$2+'Demand Base Matrix'!G$33+'Demand Base Matrix'!G$34*$AF$2),IF($C27="Bond",(('Demand Base Matrix'!G$55+'Demand Base Matrix'!G$59)*$AC$2*$AD$2*$AE$2+('Demand Base Matrix'!G$56+'Demand Base Matrix'!G$57)*$W$2*$AD$2+'Demand Base Matrix'!G$58*$W$2*$AD$2*$AE$2+'Demand Base Matrix'!G$60+'Demand Base Matrix'!G$61*$AF$2),IF($C27="Explore",('Demand Base Matrix'!G$82*$AC$2*$AD$2*$AE$2*$AF$2+'Demand Base Matrix'!G$83*$W$2*$AC$2*$AD$2*$AE$2*$AF$2+'Demand Base Matrix'!G$84)))))</f>
        <v>40</v>
      </c>
      <c r="AK27">
        <f>IF($C27="Validate",(('Demand Base Matrix'!H$2+'Demand Base Matrix'!H$6)*$AC$2*$AD$2*$AE$2+('Demand Base Matrix'!H$3+'Demand Base Matrix'!H$4)*$W$2*$AD$2+'Demand Base Matrix'!H$5*$W$2*$AD$2*$AE$2+'Demand Base Matrix'!H$7+'Demand Base Matrix'!H$8*$AF$2),IF($C27="Integrate",(('Demand Base Matrix'!H$28+'Demand Base Matrix'!H$32)*$AC$2*$AD$2*$AE$2+('Demand Base Matrix'!H$29+'Demand Base Matrix'!H$30)*$W$2*$AD$2+'Demand Base Matrix'!H$31*$W$2*$AD$2*$AE$2+'Demand Base Matrix'!H$33+'Demand Base Matrix'!H$34*$AF$2),IF($C27="Bond",(('Demand Base Matrix'!H$55+'Demand Base Matrix'!H$59)*$AC$2*$AD$2*$AE$2+('Demand Base Matrix'!H$56+'Demand Base Matrix'!H$57)*$W$2*$AD$2+'Demand Base Matrix'!H$58*$W$2*$AD$2*$AE$2+'Demand Base Matrix'!H$60+'Demand Base Matrix'!H$61*$AF$2),IF($C27="Explore",('Demand Base Matrix'!H$82*$AC$2*$AD$2*$AE$2*$AF$2+'Demand Base Matrix'!H$83*$W$2*$AC$2*$AD$2*$AE$2*$AF$2+'Demand Base Matrix'!H$84)))))</f>
        <v>60</v>
      </c>
      <c r="AL27">
        <f>IF($C27="Validate",(('Demand Base Matrix'!I$2+'Demand Base Matrix'!I$6)*$AC$2*$AD$2*$AE$2+('Demand Base Matrix'!I$3+'Demand Base Matrix'!I$4)*$W$2*$AD$2+'Demand Base Matrix'!I$5*$W$2*$AD$2*$AE$2+'Demand Base Matrix'!I$7+'Demand Base Matrix'!I$8*$AF$2),IF($C27="Integrate",(('Demand Base Matrix'!I$28+'Demand Base Matrix'!I$32)*$AC$2*$AD$2*$AE$2+('Demand Base Matrix'!I$29+'Demand Base Matrix'!I$30)*$W$2*$AD$2+'Demand Base Matrix'!I$31*$W$2*$AD$2*$AE$2+'Demand Base Matrix'!I$33+'Demand Base Matrix'!I$34*$AF$2),IF($C27="Bond",(('Demand Base Matrix'!I$55+'Demand Base Matrix'!I$59)*$AC$2*$AD$2*$AE$2+('Demand Base Matrix'!I$56+'Demand Base Matrix'!I$57)*$W$2*$AD$2+'Demand Base Matrix'!I$58*$W$2*$AD$2*$AE$2+'Demand Base Matrix'!I$60+'Demand Base Matrix'!I$61*$AF$2),IF($C27="Explore",('Demand Base Matrix'!I$82*$AC$2*$AD$2*$AE$2*$AF$2+'Demand Base Matrix'!I$83*$W$2*$AC$2*$AD$2*$AE$2*$AF$2+'Demand Base Matrix'!I$84)))))</f>
        <v>10</v>
      </c>
      <c r="AM27">
        <f>IF($C27="Validate",(('Demand Base Matrix'!J$2+'Demand Base Matrix'!J$6)*$AC$2*$AD$2*$AE$2+('Demand Base Matrix'!J$3+'Demand Base Matrix'!J$4)*$W$2*$AD$2+'Demand Base Matrix'!J$5*$W$2*$AD$2*$AE$2+'Demand Base Matrix'!J$7+'Demand Base Matrix'!J$8*$AF$2),IF($C27="Integrate",(('Demand Base Matrix'!J$28+'Demand Base Matrix'!J$32)*$AC$2*$AD$2*$AE$2+('Demand Base Matrix'!J$29+'Demand Base Matrix'!J$30)*$W$2*$AD$2+'Demand Base Matrix'!J$31*$W$2*$AD$2*$AE$2+'Demand Base Matrix'!J$33+'Demand Base Matrix'!J$34*$AF$2),IF($C27="Bond",(('Demand Base Matrix'!J$55+'Demand Base Matrix'!J$59)*$AC$2*$AD$2*$AE$2+('Demand Base Matrix'!J$56+'Demand Base Matrix'!J$57)*$W$2*$AD$2+'Demand Base Matrix'!J$58*$W$2*$AD$2*$AE$2+'Demand Base Matrix'!J$60+'Demand Base Matrix'!J$61*$AF$2),IF($C27="Explore",('Demand Base Matrix'!J$82*$AC$2*$AD$2*$AE$2*$AF$2+'Demand Base Matrix'!J$83*$W$2*$AC$2*$AD$2*$AE$2*$AF$2+'Demand Base Matrix'!J$84)))))</f>
        <v>4</v>
      </c>
      <c r="AP27" s="5"/>
      <c r="AQ27" s="5"/>
      <c r="AR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</row>
    <row r="28" spans="1:95" x14ac:dyDescent="0.2">
      <c r="A28" t="s">
        <v>828</v>
      </c>
      <c r="B28" t="s">
        <v>59</v>
      </c>
      <c r="C28" t="s">
        <v>20</v>
      </c>
      <c r="D28" t="s">
        <v>60</v>
      </c>
      <c r="E28" t="s">
        <v>119</v>
      </c>
      <c r="F28" t="s">
        <v>189</v>
      </c>
      <c r="I28" t="str">
        <f>IFERROR(INDEX('Customer 360'!F:F,MATCH(B28,'Customer 360'!A:A,0)),"-")</f>
        <v>A</v>
      </c>
      <c r="J28">
        <v>4600</v>
      </c>
      <c r="K28"/>
      <c r="L28" s="4">
        <v>46307</v>
      </c>
      <c r="M28" s="4">
        <v>46307</v>
      </c>
      <c r="N28">
        <v>2026</v>
      </c>
      <c r="O28" s="4">
        <v>46023</v>
      </c>
      <c r="P28" t="s">
        <v>217</v>
      </c>
      <c r="Q28" s="18">
        <f t="shared" ref="Q28" si="12">O28</f>
        <v>46023</v>
      </c>
      <c r="R28" s="18">
        <f>IFERROR(IF(M28&lt;&gt;"",M28,IF(L28&lt;&gt;"",L28,INDEX('CSM RDD'!B:B,MATCH(B28,'CSM RDD'!A:A,0)))),"-")</f>
        <v>46307</v>
      </c>
      <c r="S28" s="18">
        <f t="shared" ref="S28" si="13">IFERROR(EOMONTH(Q28,-1)+1,"")</f>
        <v>46023</v>
      </c>
      <c r="T28" s="18">
        <f t="shared" ref="T28" si="14">IFERROR(EOMONTH(R28,-1)+1,"")</f>
        <v>46296</v>
      </c>
      <c r="U28" s="6">
        <f t="shared" ref="U28" si="15">J28+K28</f>
        <v>4600</v>
      </c>
      <c r="V28" s="18">
        <f t="shared" si="2"/>
        <v>46023</v>
      </c>
      <c r="W28">
        <f>IF(U28=0,1,IF(U28&lt;='Demand Base Matrix'!$K$3,'Demand Base Matrix'!$L$3,IF(U28&lt;='Demand Base Matrix'!$K$4,'Demand Base Matrix'!$L$4,IF(U28&lt;='Demand Base Matrix'!$K$5,'Demand Base Matrix'!$L$5,IF(U28&lt;='Demand Base Matrix'!$K$6,'Demand Base Matrix'!$L$6,IF(U28&lt;='Demand Base Matrix'!$K$7,'Demand Base Matrix'!$L$7))))))</f>
        <v>1</v>
      </c>
      <c r="X28" s="4">
        <f t="shared" ref="X28" si="16">DATE(YEAR(R28),MONTH(R28),1)</f>
        <v>46296</v>
      </c>
      <c r="Y28" t="str">
        <f t="shared" ref="Y28" si="17">IF(K28&gt;0,"Tx","Dx")</f>
        <v>Dx</v>
      </c>
      <c r="Z28" t="s">
        <v>685</v>
      </c>
      <c r="AA28" t="s">
        <v>685</v>
      </c>
      <c r="AB28" t="s">
        <v>685</v>
      </c>
      <c r="AC28">
        <f>IFERROR(INDEX('Demand Base Matrix'!AM:AM,MATCH(Y28,'Demand Base Matrix'!AL:AL,0)),"-")</f>
        <v>1</v>
      </c>
      <c r="AD28">
        <f>IFERROR(INDEX('Demand Base Matrix'!AO:AO,MATCH(Z28,'Demand Base Matrix'!AN:AN,0)),1)</f>
        <v>1</v>
      </c>
      <c r="AE28">
        <f>IFERROR(INDEX('Demand Base Matrix'!AQ:AQ,MATCH(AA28,'Demand Base Matrix'!AP:AP,0)),1)</f>
        <v>1</v>
      </c>
      <c r="AF28">
        <f>IFERROR(INDEX('Demand Base Matrix'!AS:AS,MATCH(AB28,'Demand Base Matrix'!AR:AR,0)),1)</f>
        <v>1</v>
      </c>
      <c r="AG28">
        <f>IF($C28="Validate",(('Demand Base Matrix'!D$2+'Demand Base Matrix'!D$6)*$AC$2*$AD$2*$AE$2+('Demand Base Matrix'!D$3+'Demand Base Matrix'!D$4)*$W$2*$AD$2+'Demand Base Matrix'!D$5*$W$2*$AD$2*$AE$2+'Demand Base Matrix'!D$7+'Demand Base Matrix'!D$8*$AF$2),IF($C28="Integrate",(('Demand Base Matrix'!D$28+'Demand Base Matrix'!D$32)*$AC$2*$AD$2*$AE$2+('Demand Base Matrix'!D$29+'Demand Base Matrix'!D$30)*$W$2*$AD$2+'Demand Base Matrix'!D$31*$W$2*$AD$2*$AE$2+'Demand Base Matrix'!D$33+'Demand Base Matrix'!D$34*$AF$2),IF($C28="Bond",(('Demand Base Matrix'!D$55+'Demand Base Matrix'!D$59)*$AC$2*$AD$2*$AE$2+('Demand Base Matrix'!D$56+'Demand Base Matrix'!D$57)*$W$2*$AD$2+'Demand Base Matrix'!D$58*$W$2*$AD$2*$AE$2+'Demand Base Matrix'!D$60+'Demand Base Matrix'!D$61*$AF$2),IF($C28="Explore",('Demand Base Matrix'!D$82*$AC$2*$AD$2*$AE$2*$AF$2+'Demand Base Matrix'!D$83*$W$2*$AC$2*$AD$2*$AE$2*$AF$2+'Demand Base Matrix'!D$84)))))</f>
        <v>15</v>
      </c>
      <c r="AH28">
        <f>IF($C28="Validate",(('Demand Base Matrix'!E$2+'Demand Base Matrix'!E$6)*$AC$2*$AD$2*$AE$2+('Demand Base Matrix'!E$3+'Demand Base Matrix'!E$4)*$W$2*$AD$2+'Demand Base Matrix'!E$5*$W$2*$AD$2*$AE$2+'Demand Base Matrix'!E$7+'Demand Base Matrix'!E$8*$AF$2),IF($C28="Integrate",(('Demand Base Matrix'!E$28+'Demand Base Matrix'!E$32)*$AC$2*$AD$2*$AE$2+('Demand Base Matrix'!E$29+'Demand Base Matrix'!E$30)*$W$2*$AD$2+'Demand Base Matrix'!E$31*$W$2*$AD$2*$AE$2+'Demand Base Matrix'!E$33+'Demand Base Matrix'!E$34*$AF$2),IF($C28="Bond",(('Demand Base Matrix'!E$55+'Demand Base Matrix'!E$59)*$AC$2*$AD$2*$AE$2+('Demand Base Matrix'!E$56+'Demand Base Matrix'!E$57)*$W$2*$AD$2+'Demand Base Matrix'!E$58*$W$2*$AD$2*$AE$2+'Demand Base Matrix'!E$60+'Demand Base Matrix'!E$61*$AF$2),IF($C28="Explore",('Demand Base Matrix'!E$82*$AC$2*$AD$2*$AE$2*$AF$2+'Demand Base Matrix'!E$83*$W$2*$AC$2*$AD$2*$AE$2*$AF$2+'Demand Base Matrix'!E$84)))))</f>
        <v>15</v>
      </c>
      <c r="AI28">
        <f>IF($C28="Validate",(('Demand Base Matrix'!F$2+'Demand Base Matrix'!F$6)*$AC$2*$AD$2*$AE$2+('Demand Base Matrix'!F$3+'Demand Base Matrix'!F$4)*$W$2*$AD$2+'Demand Base Matrix'!F$5*$W$2*$AD$2*$AE$2+'Demand Base Matrix'!F$7+'Demand Base Matrix'!F$8*$AF$2),IF($C28="Integrate",(('Demand Base Matrix'!F$28+'Demand Base Matrix'!F$32)*$AC$2*$AD$2*$AE$2+('Demand Base Matrix'!F$29+'Demand Base Matrix'!F$30)*$W$2*$AD$2+'Demand Base Matrix'!F$31*$W$2*$AD$2*$AE$2+'Demand Base Matrix'!F$33+'Demand Base Matrix'!F$34*$AF$2),IF($C28="Bond",(('Demand Base Matrix'!F$55+'Demand Base Matrix'!F$59)*$AC$2*$AD$2*$AE$2+('Demand Base Matrix'!F$56+'Demand Base Matrix'!F$57)*$W$2*$AD$2+'Demand Base Matrix'!F$58*$W$2*$AD$2*$AE$2+'Demand Base Matrix'!F$60+'Demand Base Matrix'!F$61*$AF$2),IF($C28="Explore",('Demand Base Matrix'!F$82*$AC$2*$AD$2*$AE$2*$AF$2+'Demand Base Matrix'!F$83*$W$2*$AC$2*$AD$2*$AE$2*$AF$2+'Demand Base Matrix'!F$84)))))</f>
        <v>7</v>
      </c>
      <c r="AJ28">
        <f>IF($C28="Validate",(('Demand Base Matrix'!G$2+'Demand Base Matrix'!G$6)*$AC$2*$AD$2*$AE$2+('Demand Base Matrix'!G$3+'Demand Base Matrix'!G$4)*$W$2*$AD$2+'Demand Base Matrix'!G$5*$W$2*$AD$2*$AE$2+'Demand Base Matrix'!G$7+'Demand Base Matrix'!G$8*$AF$2),IF($C28="Integrate",(('Demand Base Matrix'!G$28+'Demand Base Matrix'!G$32)*$AC$2*$AD$2*$AE$2+('Demand Base Matrix'!G$29+'Demand Base Matrix'!G$30)*$W$2*$AD$2+'Demand Base Matrix'!G$31*$W$2*$AD$2*$AE$2+'Demand Base Matrix'!G$33+'Demand Base Matrix'!G$34*$AF$2),IF($C28="Bond",(('Demand Base Matrix'!G$55+'Demand Base Matrix'!G$59)*$AC$2*$AD$2*$AE$2+('Demand Base Matrix'!G$56+'Demand Base Matrix'!G$57)*$W$2*$AD$2+'Demand Base Matrix'!G$58*$W$2*$AD$2*$AE$2+'Demand Base Matrix'!G$60+'Demand Base Matrix'!G$61*$AF$2),IF($C28="Explore",('Demand Base Matrix'!G$82*$AC$2*$AD$2*$AE$2*$AF$2+'Demand Base Matrix'!G$83*$W$2*$AC$2*$AD$2*$AE$2*$AF$2+'Demand Base Matrix'!G$84)))))</f>
        <v>40</v>
      </c>
      <c r="AK28">
        <f>IF($C28="Validate",(('Demand Base Matrix'!H$2+'Demand Base Matrix'!H$6)*$AC$2*$AD$2*$AE$2+('Demand Base Matrix'!H$3+'Demand Base Matrix'!H$4)*$W$2*$AD$2+'Demand Base Matrix'!H$5*$W$2*$AD$2*$AE$2+'Demand Base Matrix'!H$7+'Demand Base Matrix'!H$8*$AF$2),IF($C28="Integrate",(('Demand Base Matrix'!H$28+'Demand Base Matrix'!H$32)*$AC$2*$AD$2*$AE$2+('Demand Base Matrix'!H$29+'Demand Base Matrix'!H$30)*$W$2*$AD$2+'Demand Base Matrix'!H$31*$W$2*$AD$2*$AE$2+'Demand Base Matrix'!H$33+'Demand Base Matrix'!H$34*$AF$2),IF($C28="Bond",(('Demand Base Matrix'!H$55+'Demand Base Matrix'!H$59)*$AC$2*$AD$2*$AE$2+('Demand Base Matrix'!H$56+'Demand Base Matrix'!H$57)*$W$2*$AD$2+'Demand Base Matrix'!H$58*$W$2*$AD$2*$AE$2+'Demand Base Matrix'!H$60+'Demand Base Matrix'!H$61*$AF$2),IF($C28="Explore",('Demand Base Matrix'!H$82*$AC$2*$AD$2*$AE$2*$AF$2+'Demand Base Matrix'!H$83*$W$2*$AC$2*$AD$2*$AE$2*$AF$2+'Demand Base Matrix'!H$84)))))</f>
        <v>60</v>
      </c>
      <c r="AL28">
        <f>IF($C28="Validate",(('Demand Base Matrix'!I$2+'Demand Base Matrix'!I$6)*$AC$2*$AD$2*$AE$2+('Demand Base Matrix'!I$3+'Demand Base Matrix'!I$4)*$W$2*$AD$2+'Demand Base Matrix'!I$5*$W$2*$AD$2*$AE$2+'Demand Base Matrix'!I$7+'Demand Base Matrix'!I$8*$AF$2),IF($C28="Integrate",(('Demand Base Matrix'!I$28+'Demand Base Matrix'!I$32)*$AC$2*$AD$2*$AE$2+('Demand Base Matrix'!I$29+'Demand Base Matrix'!I$30)*$W$2*$AD$2+'Demand Base Matrix'!I$31*$W$2*$AD$2*$AE$2+'Demand Base Matrix'!I$33+'Demand Base Matrix'!I$34*$AF$2),IF($C28="Bond",(('Demand Base Matrix'!I$55+'Demand Base Matrix'!I$59)*$AC$2*$AD$2*$AE$2+('Demand Base Matrix'!I$56+'Demand Base Matrix'!I$57)*$W$2*$AD$2+'Demand Base Matrix'!I$58*$W$2*$AD$2*$AE$2+'Demand Base Matrix'!I$60+'Demand Base Matrix'!I$61*$AF$2),IF($C28="Explore",('Demand Base Matrix'!I$82*$AC$2*$AD$2*$AE$2*$AF$2+'Demand Base Matrix'!I$83*$W$2*$AC$2*$AD$2*$AE$2*$AF$2+'Demand Base Matrix'!I$84)))))</f>
        <v>10</v>
      </c>
      <c r="AM28">
        <f>IF($C28="Validate",(('Demand Base Matrix'!J$2+'Demand Base Matrix'!J$6)*$AC$2*$AD$2*$AE$2+('Demand Base Matrix'!J$3+'Demand Base Matrix'!J$4)*$W$2*$AD$2+'Demand Base Matrix'!J$5*$W$2*$AD$2*$AE$2+'Demand Base Matrix'!J$7+'Demand Base Matrix'!J$8*$AF$2),IF($C28="Integrate",(('Demand Base Matrix'!J$28+'Demand Base Matrix'!J$32)*$AC$2*$AD$2*$AE$2+('Demand Base Matrix'!J$29+'Demand Base Matrix'!J$30)*$W$2*$AD$2+'Demand Base Matrix'!J$31*$W$2*$AD$2*$AE$2+'Demand Base Matrix'!J$33+'Demand Base Matrix'!J$34*$AF$2),IF($C28="Bond",(('Demand Base Matrix'!J$55+'Demand Base Matrix'!J$59)*$AC$2*$AD$2*$AE$2+('Demand Base Matrix'!J$56+'Demand Base Matrix'!J$57)*$W$2*$AD$2+'Demand Base Matrix'!J$58*$W$2*$AD$2*$AE$2+'Demand Base Matrix'!J$60+'Demand Base Matrix'!J$61*$AF$2),IF($C28="Explore",('Demand Base Matrix'!J$82*$AC$2*$AD$2*$AE$2*$AF$2+'Demand Base Matrix'!J$83*$W$2*$AC$2*$AD$2*$AE$2*$AF$2+'Demand Base Matrix'!J$84)))))</f>
        <v>4</v>
      </c>
      <c r="AP28" s="5"/>
      <c r="AQ28" s="5"/>
      <c r="AR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</row>
    <row r="29" spans="1:95" x14ac:dyDescent="0.2">
      <c r="A29" t="s">
        <v>741</v>
      </c>
      <c r="B29" t="s">
        <v>59</v>
      </c>
      <c r="C29" t="s">
        <v>20</v>
      </c>
      <c r="D29" t="s">
        <v>60</v>
      </c>
      <c r="E29" t="s">
        <v>119</v>
      </c>
      <c r="F29" t="s">
        <v>198</v>
      </c>
      <c r="I29" t="str">
        <f>IFERROR(INDEX('Customer 360'!F:F,MATCH(B29,'Customer 360'!A:A,0)),"-")</f>
        <v>A</v>
      </c>
      <c r="J29"/>
      <c r="K29"/>
      <c r="L29" s="4"/>
      <c r="M29" s="4"/>
      <c r="N29">
        <v>2026</v>
      </c>
      <c r="O29" s="4">
        <v>46023</v>
      </c>
      <c r="P29" t="s">
        <v>217</v>
      </c>
      <c r="Q29" s="18">
        <f t="shared" si="0"/>
        <v>46023</v>
      </c>
      <c r="R29" s="18">
        <f>IFERROR(IF(M29&lt;&gt;"",M29,IF(L29&lt;&gt;"",L29,INDEX('CSM RDD'!B:B,MATCH(B29,'CSM RDD'!A:A,0)))),"-")</f>
        <v>45717</v>
      </c>
      <c r="S29" s="18">
        <f t="shared" si="7"/>
        <v>46023</v>
      </c>
      <c r="T29" s="18">
        <f t="shared" si="8"/>
        <v>45717</v>
      </c>
      <c r="U29" s="6">
        <f t="shared" si="9"/>
        <v>0</v>
      </c>
      <c r="V29" s="18">
        <f t="shared" si="2"/>
        <v>46023</v>
      </c>
      <c r="W29">
        <f>IF(U29=0,1,IF(U29&lt;='Demand Base Matrix'!$K$3,'Demand Base Matrix'!$L$3,IF(U29&lt;='Demand Base Matrix'!$K$4,'Demand Base Matrix'!$L$4,IF(U29&lt;='Demand Base Matrix'!$K$5,'Demand Base Matrix'!$L$5,IF(U29&lt;='Demand Base Matrix'!$K$6,'Demand Base Matrix'!$L$6,IF(U29&lt;='Demand Base Matrix'!$K$7,'Demand Base Matrix'!$L$7))))))</f>
        <v>1</v>
      </c>
      <c r="X29" s="4">
        <f t="shared" si="10"/>
        <v>45717</v>
      </c>
      <c r="Y29" t="str">
        <f t="shared" si="11"/>
        <v>Dx</v>
      </c>
      <c r="Z29" t="s">
        <v>685</v>
      </c>
      <c r="AA29" t="s">
        <v>685</v>
      </c>
      <c r="AB29" t="s">
        <v>685</v>
      </c>
      <c r="AC29">
        <f>IFERROR(INDEX('Demand Base Matrix'!AM:AM,MATCH(Y29,'Demand Base Matrix'!AL:AL,0)),"-")</f>
        <v>1</v>
      </c>
      <c r="AD29">
        <f>IFERROR(INDEX('Demand Base Matrix'!AO:AO,MATCH(Z29,'Demand Base Matrix'!AN:AN,0)),1)</f>
        <v>1</v>
      </c>
      <c r="AE29">
        <f>IFERROR(INDEX('Demand Base Matrix'!AQ:AQ,MATCH(AA29,'Demand Base Matrix'!AP:AP,0)),1)</f>
        <v>1</v>
      </c>
      <c r="AF29">
        <f>IFERROR(INDEX('Demand Base Matrix'!AS:AS,MATCH(AB29,'Demand Base Matrix'!AR:AR,0)),1)</f>
        <v>1</v>
      </c>
      <c r="AG29">
        <f>IF($C29="Validate",(('Demand Base Matrix'!D$2+'Demand Base Matrix'!D$6)*$AC$2*$AD$2*$AE$2+('Demand Base Matrix'!D$3+'Demand Base Matrix'!D$4)*$W$2*$AD$2+'Demand Base Matrix'!D$5*$W$2*$AD$2*$AE$2+'Demand Base Matrix'!D$7+'Demand Base Matrix'!D$8*$AF$2),IF($C29="Integrate",(('Demand Base Matrix'!D$28+'Demand Base Matrix'!D$32)*$AC$2*$AD$2*$AE$2+('Demand Base Matrix'!D$29+'Demand Base Matrix'!D$30)*$W$2*$AD$2+'Demand Base Matrix'!D$31*$W$2*$AD$2*$AE$2+'Demand Base Matrix'!D$33+'Demand Base Matrix'!D$34*$AF$2),IF($C29="Bond",(('Demand Base Matrix'!D$55+'Demand Base Matrix'!D$59)*$AC$2*$AD$2*$AE$2+('Demand Base Matrix'!D$56+'Demand Base Matrix'!D$57)*$W$2*$AD$2+'Demand Base Matrix'!D$58*$W$2*$AD$2*$AE$2+'Demand Base Matrix'!D$60+'Demand Base Matrix'!D$61*$AF$2),IF($C29="Explore",('Demand Base Matrix'!D$82*$AC$2*$AD$2*$AE$2*$AF$2+'Demand Base Matrix'!D$83*$W$2*$AC$2*$AD$2*$AE$2*$AF$2+'Demand Base Matrix'!D$84)))))</f>
        <v>15</v>
      </c>
      <c r="AH29">
        <f>IF($C29="Validate",(('Demand Base Matrix'!E$2+'Demand Base Matrix'!E$6)*$AC$2*$AD$2*$AE$2+('Demand Base Matrix'!E$3+'Demand Base Matrix'!E$4)*$W$2*$AD$2+'Demand Base Matrix'!E$5*$W$2*$AD$2*$AE$2+'Demand Base Matrix'!E$7+'Demand Base Matrix'!E$8*$AF$2),IF($C29="Integrate",(('Demand Base Matrix'!E$28+'Demand Base Matrix'!E$32)*$AC$2*$AD$2*$AE$2+('Demand Base Matrix'!E$29+'Demand Base Matrix'!E$30)*$W$2*$AD$2+'Demand Base Matrix'!E$31*$W$2*$AD$2*$AE$2+'Demand Base Matrix'!E$33+'Demand Base Matrix'!E$34*$AF$2),IF($C29="Bond",(('Demand Base Matrix'!E$55+'Demand Base Matrix'!E$59)*$AC$2*$AD$2*$AE$2+('Demand Base Matrix'!E$56+'Demand Base Matrix'!E$57)*$W$2*$AD$2+'Demand Base Matrix'!E$58*$W$2*$AD$2*$AE$2+'Demand Base Matrix'!E$60+'Demand Base Matrix'!E$61*$AF$2),IF($C29="Explore",('Demand Base Matrix'!E$82*$AC$2*$AD$2*$AE$2*$AF$2+'Demand Base Matrix'!E$83*$W$2*$AC$2*$AD$2*$AE$2*$AF$2+'Demand Base Matrix'!E$84)))))</f>
        <v>15</v>
      </c>
      <c r="AI29">
        <f>IF($C29="Validate",(('Demand Base Matrix'!F$2+'Demand Base Matrix'!F$6)*$AC$2*$AD$2*$AE$2+('Demand Base Matrix'!F$3+'Demand Base Matrix'!F$4)*$W$2*$AD$2+'Demand Base Matrix'!F$5*$W$2*$AD$2*$AE$2+'Demand Base Matrix'!F$7+'Demand Base Matrix'!F$8*$AF$2),IF($C29="Integrate",(('Demand Base Matrix'!F$28+'Demand Base Matrix'!F$32)*$AC$2*$AD$2*$AE$2+('Demand Base Matrix'!F$29+'Demand Base Matrix'!F$30)*$W$2*$AD$2+'Demand Base Matrix'!F$31*$W$2*$AD$2*$AE$2+'Demand Base Matrix'!F$33+'Demand Base Matrix'!F$34*$AF$2),IF($C29="Bond",(('Demand Base Matrix'!F$55+'Demand Base Matrix'!F$59)*$AC$2*$AD$2*$AE$2+('Demand Base Matrix'!F$56+'Demand Base Matrix'!F$57)*$W$2*$AD$2+'Demand Base Matrix'!F$58*$W$2*$AD$2*$AE$2+'Demand Base Matrix'!F$60+'Demand Base Matrix'!F$61*$AF$2),IF($C29="Explore",('Demand Base Matrix'!F$82*$AC$2*$AD$2*$AE$2*$AF$2+'Demand Base Matrix'!F$83*$W$2*$AC$2*$AD$2*$AE$2*$AF$2+'Demand Base Matrix'!F$84)))))</f>
        <v>7</v>
      </c>
      <c r="AJ29">
        <f>IF($C29="Validate",(('Demand Base Matrix'!G$2+'Demand Base Matrix'!G$6)*$AC$2*$AD$2*$AE$2+('Demand Base Matrix'!G$3+'Demand Base Matrix'!G$4)*$W$2*$AD$2+'Demand Base Matrix'!G$5*$W$2*$AD$2*$AE$2+'Demand Base Matrix'!G$7+'Demand Base Matrix'!G$8*$AF$2),IF($C29="Integrate",(('Demand Base Matrix'!G$28+'Demand Base Matrix'!G$32)*$AC$2*$AD$2*$AE$2+('Demand Base Matrix'!G$29+'Demand Base Matrix'!G$30)*$W$2*$AD$2+'Demand Base Matrix'!G$31*$W$2*$AD$2*$AE$2+'Demand Base Matrix'!G$33+'Demand Base Matrix'!G$34*$AF$2),IF($C29="Bond",(('Demand Base Matrix'!G$55+'Demand Base Matrix'!G$59)*$AC$2*$AD$2*$AE$2+('Demand Base Matrix'!G$56+'Demand Base Matrix'!G$57)*$W$2*$AD$2+'Demand Base Matrix'!G$58*$W$2*$AD$2*$AE$2+'Demand Base Matrix'!G$60+'Demand Base Matrix'!G$61*$AF$2),IF($C29="Explore",('Demand Base Matrix'!G$82*$AC$2*$AD$2*$AE$2*$AF$2+'Demand Base Matrix'!G$83*$W$2*$AC$2*$AD$2*$AE$2*$AF$2+'Demand Base Matrix'!G$84)))))</f>
        <v>40</v>
      </c>
      <c r="AK29">
        <f>IF($C29="Validate",(('Demand Base Matrix'!H$2+'Demand Base Matrix'!H$6)*$AC$2*$AD$2*$AE$2+('Demand Base Matrix'!H$3+'Demand Base Matrix'!H$4)*$W$2*$AD$2+'Demand Base Matrix'!H$5*$W$2*$AD$2*$AE$2+'Demand Base Matrix'!H$7+'Demand Base Matrix'!H$8*$AF$2),IF($C29="Integrate",(('Demand Base Matrix'!H$28+'Demand Base Matrix'!H$32)*$AC$2*$AD$2*$AE$2+('Demand Base Matrix'!H$29+'Demand Base Matrix'!H$30)*$W$2*$AD$2+'Demand Base Matrix'!H$31*$W$2*$AD$2*$AE$2+'Demand Base Matrix'!H$33+'Demand Base Matrix'!H$34*$AF$2),IF($C29="Bond",(('Demand Base Matrix'!H$55+'Demand Base Matrix'!H$59)*$AC$2*$AD$2*$AE$2+('Demand Base Matrix'!H$56+'Demand Base Matrix'!H$57)*$W$2*$AD$2+'Demand Base Matrix'!H$58*$W$2*$AD$2*$AE$2+'Demand Base Matrix'!H$60+'Demand Base Matrix'!H$61*$AF$2),IF($C29="Explore",('Demand Base Matrix'!H$82*$AC$2*$AD$2*$AE$2*$AF$2+'Demand Base Matrix'!H$83*$W$2*$AC$2*$AD$2*$AE$2*$AF$2+'Demand Base Matrix'!H$84)))))</f>
        <v>60</v>
      </c>
      <c r="AL29">
        <f>IF($C29="Validate",(('Demand Base Matrix'!I$2+'Demand Base Matrix'!I$6)*$AC$2*$AD$2*$AE$2+('Demand Base Matrix'!I$3+'Demand Base Matrix'!I$4)*$W$2*$AD$2+'Demand Base Matrix'!I$5*$W$2*$AD$2*$AE$2+'Demand Base Matrix'!I$7+'Demand Base Matrix'!I$8*$AF$2),IF($C29="Integrate",(('Demand Base Matrix'!I$28+'Demand Base Matrix'!I$32)*$AC$2*$AD$2*$AE$2+('Demand Base Matrix'!I$29+'Demand Base Matrix'!I$30)*$W$2*$AD$2+'Demand Base Matrix'!I$31*$W$2*$AD$2*$AE$2+'Demand Base Matrix'!I$33+'Demand Base Matrix'!I$34*$AF$2),IF($C29="Bond",(('Demand Base Matrix'!I$55+'Demand Base Matrix'!I$59)*$AC$2*$AD$2*$AE$2+('Demand Base Matrix'!I$56+'Demand Base Matrix'!I$57)*$W$2*$AD$2+'Demand Base Matrix'!I$58*$W$2*$AD$2*$AE$2+'Demand Base Matrix'!I$60+'Demand Base Matrix'!I$61*$AF$2),IF($C29="Explore",('Demand Base Matrix'!I$82*$AC$2*$AD$2*$AE$2*$AF$2+'Demand Base Matrix'!I$83*$W$2*$AC$2*$AD$2*$AE$2*$AF$2+'Demand Base Matrix'!I$84)))))</f>
        <v>10</v>
      </c>
      <c r="AM29">
        <f>IF($C29="Validate",(('Demand Base Matrix'!J$2+'Demand Base Matrix'!J$6)*$AC$2*$AD$2*$AE$2+('Demand Base Matrix'!J$3+'Demand Base Matrix'!J$4)*$W$2*$AD$2+'Demand Base Matrix'!J$5*$W$2*$AD$2*$AE$2+'Demand Base Matrix'!J$7+'Demand Base Matrix'!J$8*$AF$2),IF($C29="Integrate",(('Demand Base Matrix'!J$28+'Demand Base Matrix'!J$32)*$AC$2*$AD$2*$AE$2+('Demand Base Matrix'!J$29+'Demand Base Matrix'!J$30)*$W$2*$AD$2+'Demand Base Matrix'!J$31*$W$2*$AD$2*$AE$2+'Demand Base Matrix'!J$33+'Demand Base Matrix'!J$34*$AF$2),IF($C29="Bond",(('Demand Base Matrix'!J$55+'Demand Base Matrix'!J$59)*$AC$2*$AD$2*$AE$2+('Demand Base Matrix'!J$56+'Demand Base Matrix'!J$57)*$W$2*$AD$2+'Demand Base Matrix'!J$58*$W$2*$AD$2*$AE$2+'Demand Base Matrix'!J$60+'Demand Base Matrix'!J$61*$AF$2),IF($C29="Explore",('Demand Base Matrix'!J$82*$AC$2*$AD$2*$AE$2*$AF$2+'Demand Base Matrix'!J$83*$W$2*$AC$2*$AD$2*$AE$2*$AF$2+'Demand Base Matrix'!J$84)))))</f>
        <v>4</v>
      </c>
      <c r="AP29" s="5"/>
      <c r="AQ29" s="5"/>
      <c r="AR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</row>
    <row r="30" spans="1:95" s="30" customFormat="1" x14ac:dyDescent="0.2">
      <c r="A30" t="s">
        <v>742</v>
      </c>
      <c r="B30" t="s">
        <v>191</v>
      </c>
      <c r="C30" t="s">
        <v>32</v>
      </c>
      <c r="D30" t="s">
        <v>53</v>
      </c>
      <c r="E30" t="s">
        <v>118</v>
      </c>
      <c r="F30" t="s">
        <v>21</v>
      </c>
      <c r="H30"/>
      <c r="I30" t="str">
        <f>IFERROR(INDEX('Customer 360'!F:F,MATCH(B30,'Customer 360'!A:A,0)),"-")</f>
        <v>B</v>
      </c>
      <c r="J30">
        <v>92593</v>
      </c>
      <c r="K30"/>
      <c r="L30" s="4">
        <v>46356</v>
      </c>
      <c r="M30" s="4">
        <v>46356</v>
      </c>
      <c r="N30">
        <v>2026</v>
      </c>
      <c r="O30" s="4">
        <v>46023</v>
      </c>
      <c r="P30" t="s">
        <v>217</v>
      </c>
      <c r="Q30" s="18">
        <f t="shared" si="0"/>
        <v>46023</v>
      </c>
      <c r="R30" s="18">
        <f>IFERROR(IF(M30&lt;&gt;"",M30,IF(L30&lt;&gt;"",L30,INDEX('CSM RDD'!B:B,MATCH(B30,'CSM RDD'!A:A,0)))),"-")</f>
        <v>46356</v>
      </c>
      <c r="S30" s="18">
        <f t="shared" si="7"/>
        <v>46023</v>
      </c>
      <c r="T30" s="18">
        <f t="shared" si="8"/>
        <v>46327</v>
      </c>
      <c r="U30" s="6">
        <f t="shared" si="9"/>
        <v>92593</v>
      </c>
      <c r="V30" s="18">
        <f t="shared" si="2"/>
        <v>46082</v>
      </c>
      <c r="W30">
        <f>IF(U30=0,1,IF(U30&lt;='Demand Base Matrix'!$K$3,'Demand Base Matrix'!$L$3,IF(U30&lt;='Demand Base Matrix'!$K$4,'Demand Base Matrix'!$L$4,IF(U30&lt;='Demand Base Matrix'!$K$5,'Demand Base Matrix'!$L$5,IF(U30&lt;='Demand Base Matrix'!$K$6,'Demand Base Matrix'!$L$6,IF(U30&lt;='Demand Base Matrix'!$K$7,'Demand Base Matrix'!$L$7))))))</f>
        <v>2</v>
      </c>
      <c r="X30" s="4">
        <f t="shared" si="10"/>
        <v>46327</v>
      </c>
      <c r="Y30" t="str">
        <f t="shared" si="11"/>
        <v>Dx</v>
      </c>
      <c r="Z30" t="s">
        <v>684</v>
      </c>
      <c r="AA30" t="s">
        <v>684</v>
      </c>
      <c r="AB30" t="s">
        <v>682</v>
      </c>
      <c r="AC30">
        <f>IFERROR(INDEX('Demand Base Matrix'!AM:AM,MATCH(Y30,'Demand Base Matrix'!AL:AL,0)),"-")</f>
        <v>1</v>
      </c>
      <c r="AD30">
        <f>IFERROR(INDEX('Demand Base Matrix'!AO:AO,MATCH(Z30,'Demand Base Matrix'!AN:AN,0)),1)</f>
        <v>1.25</v>
      </c>
      <c r="AE30">
        <f>IFERROR(INDEX('Demand Base Matrix'!AQ:AQ,MATCH(AA30,'Demand Base Matrix'!AP:AP,0)),1)</f>
        <v>1.5</v>
      </c>
      <c r="AF30">
        <f>IFERROR(INDEX('Demand Base Matrix'!AS:AS,MATCH(AB30,'Demand Base Matrix'!AR:AR,0)),1)</f>
        <v>2</v>
      </c>
      <c r="AG30">
        <f>IF($C30="Validate",(('Demand Base Matrix'!D$2+'Demand Base Matrix'!D$6)*$AC$2*$AD$2*$AE$2+('Demand Base Matrix'!D$3+'Demand Base Matrix'!D$4)*$W$2*$AD$2+'Demand Base Matrix'!D$5*$W$2*$AD$2*$AE$2+'Demand Base Matrix'!D$7+'Demand Base Matrix'!D$8*$AF$2),IF($C30="Integrate",(('Demand Base Matrix'!D$28+'Demand Base Matrix'!D$32)*$AC$2*$AD$2*$AE$2+('Demand Base Matrix'!D$29+'Demand Base Matrix'!D$30)*$W$2*$AD$2+'Demand Base Matrix'!D$31*$W$2*$AD$2*$AE$2+'Demand Base Matrix'!D$33+'Demand Base Matrix'!D$34*$AF$2),IF($C30="Bond",(('Demand Base Matrix'!D$55+'Demand Base Matrix'!D$59)*$AC$2*$AD$2*$AE$2+('Demand Base Matrix'!D$56+'Demand Base Matrix'!D$57)*$W$2*$AD$2+'Demand Base Matrix'!D$58*$W$2*$AD$2*$AE$2+'Demand Base Matrix'!D$60+'Demand Base Matrix'!D$61*$AF$2),IF($C30="Explore",('Demand Base Matrix'!D$82*$AC$2*$AD$2*$AE$2*$AF$2+'Demand Base Matrix'!D$83*$W$2*$AC$2*$AD$2*$AE$2*$AF$2+'Demand Base Matrix'!D$84)))))</f>
        <v>10</v>
      </c>
      <c r="AH30">
        <f>IF($C30="Validate",(('Demand Base Matrix'!E$2+'Demand Base Matrix'!E$6)*$AC$2*$AD$2*$AE$2+('Demand Base Matrix'!E$3+'Demand Base Matrix'!E$4)*$W$2*$AD$2+'Demand Base Matrix'!E$5*$W$2*$AD$2*$AE$2+'Demand Base Matrix'!E$7+'Demand Base Matrix'!E$8*$AF$2),IF($C30="Integrate",(('Demand Base Matrix'!E$28+'Demand Base Matrix'!E$32)*$AC$2*$AD$2*$AE$2+('Demand Base Matrix'!E$29+'Demand Base Matrix'!E$30)*$W$2*$AD$2+'Demand Base Matrix'!E$31*$W$2*$AD$2*$AE$2+'Demand Base Matrix'!E$33+'Demand Base Matrix'!E$34*$AF$2),IF($C30="Bond",(('Demand Base Matrix'!E$55+'Demand Base Matrix'!E$59)*$AC$2*$AD$2*$AE$2+('Demand Base Matrix'!E$56+'Demand Base Matrix'!E$57)*$W$2*$AD$2+'Demand Base Matrix'!E$58*$W$2*$AD$2*$AE$2+'Demand Base Matrix'!E$60+'Demand Base Matrix'!E$61*$AF$2),IF($C30="Explore",('Demand Base Matrix'!E$82*$AC$2*$AD$2*$AE$2*$AF$2+'Demand Base Matrix'!E$83*$W$2*$AC$2*$AD$2*$AE$2*$AF$2+'Demand Base Matrix'!E$84)))))</f>
        <v>20</v>
      </c>
      <c r="AI30">
        <f>IF($C30="Validate",(('Demand Base Matrix'!F$2+'Demand Base Matrix'!F$6)*$AC$2*$AD$2*$AE$2+('Demand Base Matrix'!F$3+'Demand Base Matrix'!F$4)*$W$2*$AD$2+'Demand Base Matrix'!F$5*$W$2*$AD$2*$AE$2+'Demand Base Matrix'!F$7+'Demand Base Matrix'!F$8*$AF$2),IF($C30="Integrate",(('Demand Base Matrix'!F$28+'Demand Base Matrix'!F$32)*$AC$2*$AD$2*$AE$2+('Demand Base Matrix'!F$29+'Demand Base Matrix'!F$30)*$W$2*$AD$2+'Demand Base Matrix'!F$31*$W$2*$AD$2*$AE$2+'Demand Base Matrix'!F$33+'Demand Base Matrix'!F$34*$AF$2),IF($C30="Bond",(('Demand Base Matrix'!F$55+'Demand Base Matrix'!F$59)*$AC$2*$AD$2*$AE$2+('Demand Base Matrix'!F$56+'Demand Base Matrix'!F$57)*$W$2*$AD$2+'Demand Base Matrix'!F$58*$W$2*$AD$2*$AE$2+'Demand Base Matrix'!F$60+'Demand Base Matrix'!F$61*$AF$2),IF($C30="Explore",('Demand Base Matrix'!F$82*$AC$2*$AD$2*$AE$2*$AF$2+'Demand Base Matrix'!F$83*$W$2*$AC$2*$AD$2*$AE$2*$AF$2+'Demand Base Matrix'!F$84)))))</f>
        <v>10</v>
      </c>
      <c r="AJ30">
        <f>IF($C30="Validate",(('Demand Base Matrix'!G$2+'Demand Base Matrix'!G$6)*$AC$2*$AD$2*$AE$2+('Demand Base Matrix'!G$3+'Demand Base Matrix'!G$4)*$W$2*$AD$2+'Demand Base Matrix'!G$5*$W$2*$AD$2*$AE$2+'Demand Base Matrix'!G$7+'Demand Base Matrix'!G$8*$AF$2),IF($C30="Integrate",(('Demand Base Matrix'!G$28+'Demand Base Matrix'!G$32)*$AC$2*$AD$2*$AE$2+('Demand Base Matrix'!G$29+'Demand Base Matrix'!G$30)*$W$2*$AD$2+'Demand Base Matrix'!G$31*$W$2*$AD$2*$AE$2+'Demand Base Matrix'!G$33+'Demand Base Matrix'!G$34*$AF$2),IF($C30="Bond",(('Demand Base Matrix'!G$55+'Demand Base Matrix'!G$59)*$AC$2*$AD$2*$AE$2+('Demand Base Matrix'!G$56+'Demand Base Matrix'!G$57)*$W$2*$AD$2+'Demand Base Matrix'!G$58*$W$2*$AD$2*$AE$2+'Demand Base Matrix'!G$60+'Demand Base Matrix'!G$61*$AF$2),IF($C30="Explore",('Demand Base Matrix'!G$82*$AC$2*$AD$2*$AE$2*$AF$2+'Demand Base Matrix'!G$83*$W$2*$AC$2*$AD$2*$AE$2*$AF$2+'Demand Base Matrix'!G$84)))))</f>
        <v>60</v>
      </c>
      <c r="AK30">
        <f>IF($C30="Validate",(('Demand Base Matrix'!H$2+'Demand Base Matrix'!H$6)*$AC$2*$AD$2*$AE$2+('Demand Base Matrix'!H$3+'Demand Base Matrix'!H$4)*$W$2*$AD$2+'Demand Base Matrix'!H$5*$W$2*$AD$2*$AE$2+'Demand Base Matrix'!H$7+'Demand Base Matrix'!H$8*$AF$2),IF($C30="Integrate",(('Demand Base Matrix'!H$28+'Demand Base Matrix'!H$32)*$AC$2*$AD$2*$AE$2+('Demand Base Matrix'!H$29+'Demand Base Matrix'!H$30)*$W$2*$AD$2+'Demand Base Matrix'!H$31*$W$2*$AD$2*$AE$2+'Demand Base Matrix'!H$33+'Demand Base Matrix'!H$34*$AF$2),IF($C30="Bond",(('Demand Base Matrix'!H$55+'Demand Base Matrix'!H$59)*$AC$2*$AD$2*$AE$2+('Demand Base Matrix'!H$56+'Demand Base Matrix'!H$57)*$W$2*$AD$2+'Demand Base Matrix'!H$58*$W$2*$AD$2*$AE$2+'Demand Base Matrix'!H$60+'Demand Base Matrix'!H$61*$AF$2),IF($C30="Explore",('Demand Base Matrix'!H$82*$AC$2*$AD$2*$AE$2*$AF$2+'Demand Base Matrix'!H$83*$W$2*$AC$2*$AD$2*$AE$2*$AF$2+'Demand Base Matrix'!H$84)))))</f>
        <v>28</v>
      </c>
      <c r="AL30">
        <f>IF($C30="Validate",(('Demand Base Matrix'!I$2+'Demand Base Matrix'!I$6)*$AC$2*$AD$2*$AE$2+('Demand Base Matrix'!I$3+'Demand Base Matrix'!I$4)*$W$2*$AD$2+'Demand Base Matrix'!I$5*$W$2*$AD$2*$AE$2+'Demand Base Matrix'!I$7+'Demand Base Matrix'!I$8*$AF$2),IF($C30="Integrate",(('Demand Base Matrix'!I$28+'Demand Base Matrix'!I$32)*$AC$2*$AD$2*$AE$2+('Demand Base Matrix'!I$29+'Demand Base Matrix'!I$30)*$W$2*$AD$2+'Demand Base Matrix'!I$31*$W$2*$AD$2*$AE$2+'Demand Base Matrix'!I$33+'Demand Base Matrix'!I$34*$AF$2),IF($C30="Bond",(('Demand Base Matrix'!I$55+'Demand Base Matrix'!I$59)*$AC$2*$AD$2*$AE$2+('Demand Base Matrix'!I$56+'Demand Base Matrix'!I$57)*$W$2*$AD$2+'Demand Base Matrix'!I$58*$W$2*$AD$2*$AE$2+'Demand Base Matrix'!I$60+'Demand Base Matrix'!I$61*$AF$2),IF($C30="Explore",('Demand Base Matrix'!I$82*$AC$2*$AD$2*$AE$2*$AF$2+'Demand Base Matrix'!I$83*$W$2*$AC$2*$AD$2*$AE$2*$AF$2+'Demand Base Matrix'!I$84)))))</f>
        <v>8</v>
      </c>
      <c r="AM30">
        <f>IF($C30="Validate",(('Demand Base Matrix'!J$2+'Demand Base Matrix'!J$6)*$AC$2*$AD$2*$AE$2+('Demand Base Matrix'!J$3+'Demand Base Matrix'!J$4)*$W$2*$AD$2+'Demand Base Matrix'!J$5*$W$2*$AD$2*$AE$2+'Demand Base Matrix'!J$7+'Demand Base Matrix'!J$8*$AF$2),IF($C30="Integrate",(('Demand Base Matrix'!J$28+'Demand Base Matrix'!J$32)*$AC$2*$AD$2*$AE$2+('Demand Base Matrix'!J$29+'Demand Base Matrix'!J$30)*$W$2*$AD$2+'Demand Base Matrix'!J$31*$W$2*$AD$2*$AE$2+'Demand Base Matrix'!J$33+'Demand Base Matrix'!J$34*$AF$2),IF($C30="Bond",(('Demand Base Matrix'!J$55+'Demand Base Matrix'!J$59)*$AC$2*$AD$2*$AE$2+('Demand Base Matrix'!J$56+'Demand Base Matrix'!J$57)*$W$2*$AD$2+'Demand Base Matrix'!J$58*$W$2*$AD$2*$AE$2+'Demand Base Matrix'!J$60+'Demand Base Matrix'!J$61*$AF$2),IF($C30="Explore",('Demand Base Matrix'!J$82*$AC$2*$AD$2*$AE$2*$AF$2+'Demand Base Matrix'!J$83*$W$2*$AC$2*$AD$2*$AE$2*$AF$2+'Demand Base Matrix'!J$84)))))</f>
        <v>8</v>
      </c>
      <c r="AN30" s="4"/>
      <c r="AP30" s="31"/>
      <c r="AQ30" s="31"/>
      <c r="AR30" s="31"/>
      <c r="AS30"/>
      <c r="AT30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</row>
    <row r="31" spans="1:95" x14ac:dyDescent="0.2">
      <c r="A31" t="s">
        <v>743</v>
      </c>
      <c r="B31" t="s">
        <v>63</v>
      </c>
      <c r="C31" t="s">
        <v>23</v>
      </c>
      <c r="D31" t="s">
        <v>694</v>
      </c>
      <c r="E31" t="s">
        <v>118</v>
      </c>
      <c r="F31" t="s">
        <v>109</v>
      </c>
      <c r="I31" t="str">
        <f>IFERROR(INDEX('Customer 360'!F:F,MATCH(B31,'Customer 360'!A:A,0)),"-")</f>
        <v>D</v>
      </c>
      <c r="J31">
        <v>2816</v>
      </c>
      <c r="K31">
        <v>304</v>
      </c>
      <c r="L31" s="4">
        <v>46261</v>
      </c>
      <c r="M31" s="4">
        <v>46261</v>
      </c>
      <c r="N31">
        <v>2026</v>
      </c>
      <c r="O31" s="4">
        <v>46023</v>
      </c>
      <c r="P31" t="s">
        <v>217</v>
      </c>
      <c r="Q31" s="18">
        <f t="shared" si="0"/>
        <v>46023</v>
      </c>
      <c r="R31" s="18">
        <f>IFERROR(IF(M31&lt;&gt;"",M31,IF(L31&lt;&gt;"",L31,INDEX('CSM RDD'!B:B,MATCH(B31,'CSM RDD'!A:A,0)))),"-")</f>
        <v>46261</v>
      </c>
      <c r="S31" s="18">
        <f t="shared" si="7"/>
        <v>46023</v>
      </c>
      <c r="T31" s="18">
        <f t="shared" si="8"/>
        <v>46235</v>
      </c>
      <c r="U31" s="6">
        <f t="shared" si="9"/>
        <v>3120</v>
      </c>
      <c r="V31" s="18">
        <f t="shared" si="2"/>
        <v>46082</v>
      </c>
      <c r="W31">
        <f>IF(U31=0,1,IF(U31&lt;='Demand Base Matrix'!$K$3,'Demand Base Matrix'!$L$3,IF(U31&lt;='Demand Base Matrix'!$K$4,'Demand Base Matrix'!$L$4,IF(U31&lt;='Demand Base Matrix'!$K$5,'Demand Base Matrix'!$L$5,IF(U31&lt;='Demand Base Matrix'!$K$6,'Demand Base Matrix'!$L$6,IF(U31&lt;='Demand Base Matrix'!$K$7,'Demand Base Matrix'!$L$7))))))</f>
        <v>1</v>
      </c>
      <c r="X31" s="4">
        <f t="shared" si="10"/>
        <v>46235</v>
      </c>
      <c r="Y31" t="str">
        <f t="shared" si="11"/>
        <v>Tx</v>
      </c>
      <c r="Z31" t="s">
        <v>685</v>
      </c>
      <c r="AA31" t="s">
        <v>684</v>
      </c>
      <c r="AB31" t="s">
        <v>685</v>
      </c>
      <c r="AC31">
        <f>IFERROR(INDEX('Demand Base Matrix'!AM:AM,MATCH(Y31,'Demand Base Matrix'!AL:AL,0)),"-")</f>
        <v>1.5</v>
      </c>
      <c r="AD31">
        <f>IFERROR(INDEX('Demand Base Matrix'!AO:AO,MATCH(Z31,'Demand Base Matrix'!AN:AN,0)),1)</f>
        <v>1</v>
      </c>
      <c r="AE31">
        <f>IFERROR(INDEX('Demand Base Matrix'!AQ:AQ,MATCH(AA31,'Demand Base Matrix'!AP:AP,0)),1)</f>
        <v>1.5</v>
      </c>
      <c r="AF31">
        <f>IFERROR(INDEX('Demand Base Matrix'!AS:AS,MATCH(AB31,'Demand Base Matrix'!AR:AR,0)),1)</f>
        <v>1</v>
      </c>
      <c r="AG31">
        <f>IF($C31="Validate",(('Demand Base Matrix'!D$2+'Demand Base Matrix'!D$6)*$AC$2*$AD$2*$AE$2+('Demand Base Matrix'!D$3+'Demand Base Matrix'!D$4)*$W$2*$AD$2+'Demand Base Matrix'!D$5*$W$2*$AD$2*$AE$2+'Demand Base Matrix'!D$7+'Demand Base Matrix'!D$8*$AF$2),IF($C31="Integrate",(('Demand Base Matrix'!D$28+'Demand Base Matrix'!D$32)*$AC$2*$AD$2*$AE$2+('Demand Base Matrix'!D$29+'Demand Base Matrix'!D$30)*$W$2*$AD$2+'Demand Base Matrix'!D$31*$W$2*$AD$2*$AE$2+'Demand Base Matrix'!D$33+'Demand Base Matrix'!D$34*$AF$2),IF($C31="Bond",(('Demand Base Matrix'!D$55+'Demand Base Matrix'!D$59)*$AC$2*$AD$2*$AE$2+('Demand Base Matrix'!D$56+'Demand Base Matrix'!D$57)*$W$2*$AD$2+'Demand Base Matrix'!D$58*$W$2*$AD$2*$AE$2+'Demand Base Matrix'!D$60+'Demand Base Matrix'!D$61*$AF$2),IF($C31="Explore",('Demand Base Matrix'!D$82*$AC$2*$AD$2*$AE$2*$AF$2+'Demand Base Matrix'!D$83*$W$2*$AC$2*$AD$2*$AE$2*$AF$2+'Demand Base Matrix'!D$84)))))</f>
        <v>10</v>
      </c>
      <c r="AH31">
        <f>IF($C31="Validate",(('Demand Base Matrix'!E$2+'Demand Base Matrix'!E$6)*$AC$2*$AD$2*$AE$2+('Demand Base Matrix'!E$3+'Demand Base Matrix'!E$4)*$W$2*$AD$2+'Demand Base Matrix'!E$5*$W$2*$AD$2*$AE$2+'Demand Base Matrix'!E$7+'Demand Base Matrix'!E$8*$AF$2),IF($C31="Integrate",(('Demand Base Matrix'!E$28+'Demand Base Matrix'!E$32)*$AC$2*$AD$2*$AE$2+('Demand Base Matrix'!E$29+'Demand Base Matrix'!E$30)*$W$2*$AD$2+'Demand Base Matrix'!E$31*$W$2*$AD$2*$AE$2+'Demand Base Matrix'!E$33+'Demand Base Matrix'!E$34*$AF$2),IF($C31="Bond",(('Demand Base Matrix'!E$55+'Demand Base Matrix'!E$59)*$AC$2*$AD$2*$AE$2+('Demand Base Matrix'!E$56+'Demand Base Matrix'!E$57)*$W$2*$AD$2+'Demand Base Matrix'!E$58*$W$2*$AD$2*$AE$2+'Demand Base Matrix'!E$60+'Demand Base Matrix'!E$61*$AF$2),IF($C31="Explore",('Demand Base Matrix'!E$82*$AC$2*$AD$2*$AE$2*$AF$2+'Demand Base Matrix'!E$83*$W$2*$AC$2*$AD$2*$AE$2*$AF$2+'Demand Base Matrix'!E$84)))))</f>
        <v>10</v>
      </c>
      <c r="AI31">
        <f>IF($C31="Validate",(('Demand Base Matrix'!F$2+'Demand Base Matrix'!F$6)*$AC$2*$AD$2*$AE$2+('Demand Base Matrix'!F$3+'Demand Base Matrix'!F$4)*$W$2*$AD$2+'Demand Base Matrix'!F$5*$W$2*$AD$2*$AE$2+'Demand Base Matrix'!F$7+'Demand Base Matrix'!F$8*$AF$2),IF($C31="Integrate",(('Demand Base Matrix'!F$28+'Demand Base Matrix'!F$32)*$AC$2*$AD$2*$AE$2+('Demand Base Matrix'!F$29+'Demand Base Matrix'!F$30)*$W$2*$AD$2+'Demand Base Matrix'!F$31*$W$2*$AD$2*$AE$2+'Demand Base Matrix'!F$33+'Demand Base Matrix'!F$34*$AF$2),IF($C31="Bond",(('Demand Base Matrix'!F$55+'Demand Base Matrix'!F$59)*$AC$2*$AD$2*$AE$2+('Demand Base Matrix'!F$56+'Demand Base Matrix'!F$57)*$W$2*$AD$2+'Demand Base Matrix'!F$58*$W$2*$AD$2*$AE$2+'Demand Base Matrix'!F$60+'Demand Base Matrix'!F$61*$AF$2),IF($C31="Explore",('Demand Base Matrix'!F$82*$AC$2*$AD$2*$AE$2*$AF$2+'Demand Base Matrix'!F$83*$W$2*$AC$2*$AD$2*$AE$2*$AF$2+'Demand Base Matrix'!F$84)))))</f>
        <v>10</v>
      </c>
      <c r="AJ31">
        <f>IF($C31="Validate",(('Demand Base Matrix'!G$2+'Demand Base Matrix'!G$6)*$AC$2*$AD$2*$AE$2+('Demand Base Matrix'!G$3+'Demand Base Matrix'!G$4)*$W$2*$AD$2+'Demand Base Matrix'!G$5*$W$2*$AD$2*$AE$2+'Demand Base Matrix'!G$7+'Demand Base Matrix'!G$8*$AF$2),IF($C31="Integrate",(('Demand Base Matrix'!G$28+'Demand Base Matrix'!G$32)*$AC$2*$AD$2*$AE$2+('Demand Base Matrix'!G$29+'Demand Base Matrix'!G$30)*$W$2*$AD$2+'Demand Base Matrix'!G$31*$W$2*$AD$2*$AE$2+'Demand Base Matrix'!G$33+'Demand Base Matrix'!G$34*$AF$2),IF($C31="Bond",(('Demand Base Matrix'!G$55+'Demand Base Matrix'!G$59)*$AC$2*$AD$2*$AE$2+('Demand Base Matrix'!G$56+'Demand Base Matrix'!G$57)*$W$2*$AD$2+'Demand Base Matrix'!G$58*$W$2*$AD$2*$AE$2+'Demand Base Matrix'!G$60+'Demand Base Matrix'!G$61*$AF$2),IF($C31="Explore",('Demand Base Matrix'!G$82*$AC$2*$AD$2*$AE$2*$AF$2+'Demand Base Matrix'!G$83*$W$2*$AC$2*$AD$2*$AE$2*$AF$2+'Demand Base Matrix'!G$84)))))</f>
        <v>50</v>
      </c>
      <c r="AK31">
        <f>IF($C31="Validate",(('Demand Base Matrix'!H$2+'Demand Base Matrix'!H$6)*$AC$2*$AD$2*$AE$2+('Demand Base Matrix'!H$3+'Demand Base Matrix'!H$4)*$W$2*$AD$2+'Demand Base Matrix'!H$5*$W$2*$AD$2*$AE$2+'Demand Base Matrix'!H$7+'Demand Base Matrix'!H$8*$AF$2),IF($C31="Integrate",(('Demand Base Matrix'!H$28+'Demand Base Matrix'!H$32)*$AC$2*$AD$2*$AE$2+('Demand Base Matrix'!H$29+'Demand Base Matrix'!H$30)*$W$2*$AD$2+'Demand Base Matrix'!H$31*$W$2*$AD$2*$AE$2+'Demand Base Matrix'!H$33+'Demand Base Matrix'!H$34*$AF$2),IF($C31="Bond",(('Demand Base Matrix'!H$55+'Demand Base Matrix'!H$59)*$AC$2*$AD$2*$AE$2+('Demand Base Matrix'!H$56+'Demand Base Matrix'!H$57)*$W$2*$AD$2+'Demand Base Matrix'!H$58*$W$2*$AD$2*$AE$2+'Demand Base Matrix'!H$60+'Demand Base Matrix'!H$61*$AF$2),IF($C31="Explore",('Demand Base Matrix'!H$82*$AC$2*$AD$2*$AE$2*$AF$2+'Demand Base Matrix'!H$83*$W$2*$AC$2*$AD$2*$AE$2*$AF$2+'Demand Base Matrix'!H$84)))))</f>
        <v>28</v>
      </c>
      <c r="AL31">
        <f>IF($C31="Validate",(('Demand Base Matrix'!I$2+'Demand Base Matrix'!I$6)*$AC$2*$AD$2*$AE$2+('Demand Base Matrix'!I$3+'Demand Base Matrix'!I$4)*$W$2*$AD$2+'Demand Base Matrix'!I$5*$W$2*$AD$2*$AE$2+'Demand Base Matrix'!I$7+'Demand Base Matrix'!I$8*$AF$2),IF($C31="Integrate",(('Demand Base Matrix'!I$28+'Demand Base Matrix'!I$32)*$AC$2*$AD$2*$AE$2+('Demand Base Matrix'!I$29+'Demand Base Matrix'!I$30)*$W$2*$AD$2+'Demand Base Matrix'!I$31*$W$2*$AD$2*$AE$2+'Demand Base Matrix'!I$33+'Demand Base Matrix'!I$34*$AF$2),IF($C31="Bond",(('Demand Base Matrix'!I$55+'Demand Base Matrix'!I$59)*$AC$2*$AD$2*$AE$2+('Demand Base Matrix'!I$56+'Demand Base Matrix'!I$57)*$W$2*$AD$2+'Demand Base Matrix'!I$58*$W$2*$AD$2*$AE$2+'Demand Base Matrix'!I$60+'Demand Base Matrix'!I$61*$AF$2),IF($C31="Explore",('Demand Base Matrix'!I$82*$AC$2*$AD$2*$AE$2*$AF$2+'Demand Base Matrix'!I$83*$W$2*$AC$2*$AD$2*$AE$2*$AF$2+'Demand Base Matrix'!I$84)))))</f>
        <v>8</v>
      </c>
      <c r="AM31">
        <f>IF($C31="Validate",(('Demand Base Matrix'!J$2+'Demand Base Matrix'!J$6)*$AC$2*$AD$2*$AE$2+('Demand Base Matrix'!J$3+'Demand Base Matrix'!J$4)*$W$2*$AD$2+'Demand Base Matrix'!J$5*$W$2*$AD$2*$AE$2+'Demand Base Matrix'!J$7+'Demand Base Matrix'!J$8*$AF$2),IF($C31="Integrate",(('Demand Base Matrix'!J$28+'Demand Base Matrix'!J$32)*$AC$2*$AD$2*$AE$2+('Demand Base Matrix'!J$29+'Demand Base Matrix'!J$30)*$W$2*$AD$2+'Demand Base Matrix'!J$31*$W$2*$AD$2*$AE$2+'Demand Base Matrix'!J$33+'Demand Base Matrix'!J$34*$AF$2),IF($C31="Bond",(('Demand Base Matrix'!J$55+'Demand Base Matrix'!J$59)*$AC$2*$AD$2*$AE$2+('Demand Base Matrix'!J$56+'Demand Base Matrix'!J$57)*$W$2*$AD$2+'Demand Base Matrix'!J$58*$W$2*$AD$2*$AE$2+'Demand Base Matrix'!J$60+'Demand Base Matrix'!J$61*$AF$2),IF($C31="Explore",('Demand Base Matrix'!J$82*$AC$2*$AD$2*$AE$2*$AF$2+'Demand Base Matrix'!J$83*$W$2*$AC$2*$AD$2*$AE$2*$AF$2+'Demand Base Matrix'!J$84)))))</f>
        <v>8</v>
      </c>
      <c r="AP31" s="5"/>
      <c r="AQ31" s="5"/>
      <c r="AR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</row>
    <row r="32" spans="1:95" x14ac:dyDescent="0.2">
      <c r="A32" t="s">
        <v>744</v>
      </c>
      <c r="B32" t="s">
        <v>671</v>
      </c>
      <c r="C32" t="s">
        <v>20</v>
      </c>
      <c r="D32" t="s">
        <v>69</v>
      </c>
      <c r="E32" t="s">
        <v>699</v>
      </c>
      <c r="F32" t="s">
        <v>198</v>
      </c>
      <c r="I32" t="str">
        <f>IFERROR(INDEX('Customer 360'!F:F,MATCH(B32,'Customer 360'!A:A,0)),"-")</f>
        <v>A</v>
      </c>
      <c r="J32">
        <v>1970</v>
      </c>
      <c r="K32">
        <v>250</v>
      </c>
      <c r="L32" s="4">
        <v>46153</v>
      </c>
      <c r="M32" s="4">
        <v>46153</v>
      </c>
      <c r="N32">
        <v>2026</v>
      </c>
      <c r="O32" s="4">
        <v>46082</v>
      </c>
      <c r="P32" t="s">
        <v>217</v>
      </c>
      <c r="Q32" s="18">
        <f t="shared" si="0"/>
        <v>46082</v>
      </c>
      <c r="R32" s="18">
        <f>IFERROR(IF(M32&lt;&gt;"",M32,IF(L32&lt;&gt;"",L32,INDEX('CSM RDD'!B:B,MATCH(B32,'CSM RDD'!A:A,0)))),"-")</f>
        <v>46153</v>
      </c>
      <c r="S32" s="18">
        <f t="shared" si="7"/>
        <v>46082</v>
      </c>
      <c r="T32" s="18">
        <f t="shared" si="8"/>
        <v>46143</v>
      </c>
      <c r="U32" s="6">
        <f t="shared" si="9"/>
        <v>2220</v>
      </c>
      <c r="V32" s="18">
        <f t="shared" si="2"/>
        <v>46082</v>
      </c>
      <c r="W32">
        <f>IF(U32=0,1,IF(U32&lt;='Demand Base Matrix'!$K$3,'Demand Base Matrix'!$L$3,IF(U32&lt;='Demand Base Matrix'!$K$4,'Demand Base Matrix'!$L$4,IF(U32&lt;='Demand Base Matrix'!$K$5,'Demand Base Matrix'!$L$5,IF(U32&lt;='Demand Base Matrix'!$K$6,'Demand Base Matrix'!$L$6,IF(U32&lt;='Demand Base Matrix'!$K$7,'Demand Base Matrix'!$L$7))))))</f>
        <v>1</v>
      </c>
      <c r="X32" s="4">
        <f t="shared" si="10"/>
        <v>46143</v>
      </c>
      <c r="Y32" t="str">
        <f t="shared" si="11"/>
        <v>Tx</v>
      </c>
      <c r="Z32" t="s">
        <v>220</v>
      </c>
      <c r="AA32" t="s">
        <v>220</v>
      </c>
      <c r="AB32" t="s">
        <v>220</v>
      </c>
      <c r="AC32">
        <f>IFERROR(INDEX('Demand Base Matrix'!AM:AM,MATCH(Y32,'Demand Base Matrix'!AL:AL,0)),"-")</f>
        <v>1.5</v>
      </c>
      <c r="AD32">
        <f>IFERROR(INDEX('Demand Base Matrix'!AO:AO,MATCH(Z32,'Demand Base Matrix'!AN:AN,0)),1)</f>
        <v>1</v>
      </c>
      <c r="AE32">
        <f>IFERROR(INDEX('Demand Base Matrix'!AQ:AQ,MATCH(AA32,'Demand Base Matrix'!AP:AP,0)),1)</f>
        <v>1</v>
      </c>
      <c r="AF32">
        <f>IFERROR(INDEX('Demand Base Matrix'!AS:AS,MATCH(AB32,'Demand Base Matrix'!AR:AR,0)),1)</f>
        <v>1</v>
      </c>
      <c r="AG32">
        <f>IF($C32="Validate",(('Demand Base Matrix'!D$2+'Demand Base Matrix'!D$6)*$AC$2*$AD$2*$AE$2+('Demand Base Matrix'!D$3+'Demand Base Matrix'!D$4)*$W$2*$AD$2+'Demand Base Matrix'!D$5*$W$2*$AD$2*$AE$2+'Demand Base Matrix'!D$7+'Demand Base Matrix'!D$8*$AF$2),IF($C32="Integrate",(('Demand Base Matrix'!D$28+'Demand Base Matrix'!D$32)*$AC$2*$AD$2*$AE$2+('Demand Base Matrix'!D$29+'Demand Base Matrix'!D$30)*$W$2*$AD$2+'Demand Base Matrix'!D$31*$W$2*$AD$2*$AE$2+'Demand Base Matrix'!D$33+'Demand Base Matrix'!D$34*$AF$2),IF($C32="Bond",(('Demand Base Matrix'!D$55+'Demand Base Matrix'!D$59)*$AC$2*$AD$2*$AE$2+('Demand Base Matrix'!D$56+'Demand Base Matrix'!D$57)*$W$2*$AD$2+'Demand Base Matrix'!D$58*$W$2*$AD$2*$AE$2+'Demand Base Matrix'!D$60+'Demand Base Matrix'!D$61*$AF$2),IF($C32="Explore",('Demand Base Matrix'!D$82*$AC$2*$AD$2*$AE$2*$AF$2+'Demand Base Matrix'!D$83*$W$2*$AC$2*$AD$2*$AE$2*$AF$2+'Demand Base Matrix'!D$84)))))</f>
        <v>15</v>
      </c>
      <c r="AH32">
        <f>IF($C32="Validate",(('Demand Base Matrix'!E$2+'Demand Base Matrix'!E$6)*$AC$2*$AD$2*$AE$2+('Demand Base Matrix'!E$3+'Demand Base Matrix'!E$4)*$W$2*$AD$2+'Demand Base Matrix'!E$5*$W$2*$AD$2*$AE$2+'Demand Base Matrix'!E$7+'Demand Base Matrix'!E$8*$AF$2),IF($C32="Integrate",(('Demand Base Matrix'!E$28+'Demand Base Matrix'!E$32)*$AC$2*$AD$2*$AE$2+('Demand Base Matrix'!E$29+'Demand Base Matrix'!E$30)*$W$2*$AD$2+'Demand Base Matrix'!E$31*$W$2*$AD$2*$AE$2+'Demand Base Matrix'!E$33+'Demand Base Matrix'!E$34*$AF$2),IF($C32="Bond",(('Demand Base Matrix'!E$55+'Demand Base Matrix'!E$59)*$AC$2*$AD$2*$AE$2+('Demand Base Matrix'!E$56+'Demand Base Matrix'!E$57)*$W$2*$AD$2+'Demand Base Matrix'!E$58*$W$2*$AD$2*$AE$2+'Demand Base Matrix'!E$60+'Demand Base Matrix'!E$61*$AF$2),IF($C32="Explore",('Demand Base Matrix'!E$82*$AC$2*$AD$2*$AE$2*$AF$2+'Demand Base Matrix'!E$83*$W$2*$AC$2*$AD$2*$AE$2*$AF$2+'Demand Base Matrix'!E$84)))))</f>
        <v>15</v>
      </c>
      <c r="AI32">
        <f>IF($C32="Validate",(('Demand Base Matrix'!F$2+'Demand Base Matrix'!F$6)*$AC$2*$AD$2*$AE$2+('Demand Base Matrix'!F$3+'Demand Base Matrix'!F$4)*$W$2*$AD$2+'Demand Base Matrix'!F$5*$W$2*$AD$2*$AE$2+'Demand Base Matrix'!F$7+'Demand Base Matrix'!F$8*$AF$2),IF($C32="Integrate",(('Demand Base Matrix'!F$28+'Demand Base Matrix'!F$32)*$AC$2*$AD$2*$AE$2+('Demand Base Matrix'!F$29+'Demand Base Matrix'!F$30)*$W$2*$AD$2+'Demand Base Matrix'!F$31*$W$2*$AD$2*$AE$2+'Demand Base Matrix'!F$33+'Demand Base Matrix'!F$34*$AF$2),IF($C32="Bond",(('Demand Base Matrix'!F$55+'Demand Base Matrix'!F$59)*$AC$2*$AD$2*$AE$2+('Demand Base Matrix'!F$56+'Demand Base Matrix'!F$57)*$W$2*$AD$2+'Demand Base Matrix'!F$58*$W$2*$AD$2*$AE$2+'Demand Base Matrix'!F$60+'Demand Base Matrix'!F$61*$AF$2),IF($C32="Explore",('Demand Base Matrix'!F$82*$AC$2*$AD$2*$AE$2*$AF$2+'Demand Base Matrix'!F$83*$W$2*$AC$2*$AD$2*$AE$2*$AF$2+'Demand Base Matrix'!F$84)))))</f>
        <v>7</v>
      </c>
      <c r="AJ32">
        <f>IF($C32="Validate",(('Demand Base Matrix'!G$2+'Demand Base Matrix'!G$6)*$AC$2*$AD$2*$AE$2+('Demand Base Matrix'!G$3+'Demand Base Matrix'!G$4)*$W$2*$AD$2+'Demand Base Matrix'!G$5*$W$2*$AD$2*$AE$2+'Demand Base Matrix'!G$7+'Demand Base Matrix'!G$8*$AF$2),IF($C32="Integrate",(('Demand Base Matrix'!G$28+'Demand Base Matrix'!G$32)*$AC$2*$AD$2*$AE$2+('Demand Base Matrix'!G$29+'Demand Base Matrix'!G$30)*$W$2*$AD$2+'Demand Base Matrix'!G$31*$W$2*$AD$2*$AE$2+'Demand Base Matrix'!G$33+'Demand Base Matrix'!G$34*$AF$2),IF($C32="Bond",(('Demand Base Matrix'!G$55+'Demand Base Matrix'!G$59)*$AC$2*$AD$2*$AE$2+('Demand Base Matrix'!G$56+'Demand Base Matrix'!G$57)*$W$2*$AD$2+'Demand Base Matrix'!G$58*$W$2*$AD$2*$AE$2+'Demand Base Matrix'!G$60+'Demand Base Matrix'!G$61*$AF$2),IF($C32="Explore",('Demand Base Matrix'!G$82*$AC$2*$AD$2*$AE$2*$AF$2+'Demand Base Matrix'!G$83*$W$2*$AC$2*$AD$2*$AE$2*$AF$2+'Demand Base Matrix'!G$84)))))</f>
        <v>40</v>
      </c>
      <c r="AK32">
        <f>IF($C32="Validate",(('Demand Base Matrix'!H$2+'Demand Base Matrix'!H$6)*$AC$2*$AD$2*$AE$2+('Demand Base Matrix'!H$3+'Demand Base Matrix'!H$4)*$W$2*$AD$2+'Demand Base Matrix'!H$5*$W$2*$AD$2*$AE$2+'Demand Base Matrix'!H$7+'Demand Base Matrix'!H$8*$AF$2),IF($C32="Integrate",(('Demand Base Matrix'!H$28+'Demand Base Matrix'!H$32)*$AC$2*$AD$2*$AE$2+('Demand Base Matrix'!H$29+'Demand Base Matrix'!H$30)*$W$2*$AD$2+'Demand Base Matrix'!H$31*$W$2*$AD$2*$AE$2+'Demand Base Matrix'!H$33+'Demand Base Matrix'!H$34*$AF$2),IF($C32="Bond",(('Demand Base Matrix'!H$55+'Demand Base Matrix'!H$59)*$AC$2*$AD$2*$AE$2+('Demand Base Matrix'!H$56+'Demand Base Matrix'!H$57)*$W$2*$AD$2+'Demand Base Matrix'!H$58*$W$2*$AD$2*$AE$2+'Demand Base Matrix'!H$60+'Demand Base Matrix'!H$61*$AF$2),IF($C32="Explore",('Demand Base Matrix'!H$82*$AC$2*$AD$2*$AE$2*$AF$2+'Demand Base Matrix'!H$83*$W$2*$AC$2*$AD$2*$AE$2*$AF$2+'Demand Base Matrix'!H$84)))))</f>
        <v>60</v>
      </c>
      <c r="AL32">
        <f>IF($C32="Validate",(('Demand Base Matrix'!I$2+'Demand Base Matrix'!I$6)*$AC$2*$AD$2*$AE$2+('Demand Base Matrix'!I$3+'Demand Base Matrix'!I$4)*$W$2*$AD$2+'Demand Base Matrix'!I$5*$W$2*$AD$2*$AE$2+'Demand Base Matrix'!I$7+'Demand Base Matrix'!I$8*$AF$2),IF($C32="Integrate",(('Demand Base Matrix'!I$28+'Demand Base Matrix'!I$32)*$AC$2*$AD$2*$AE$2+('Demand Base Matrix'!I$29+'Demand Base Matrix'!I$30)*$W$2*$AD$2+'Demand Base Matrix'!I$31*$W$2*$AD$2*$AE$2+'Demand Base Matrix'!I$33+'Demand Base Matrix'!I$34*$AF$2),IF($C32="Bond",(('Demand Base Matrix'!I$55+'Demand Base Matrix'!I$59)*$AC$2*$AD$2*$AE$2+('Demand Base Matrix'!I$56+'Demand Base Matrix'!I$57)*$W$2*$AD$2+'Demand Base Matrix'!I$58*$W$2*$AD$2*$AE$2+'Demand Base Matrix'!I$60+'Demand Base Matrix'!I$61*$AF$2),IF($C32="Explore",('Demand Base Matrix'!I$82*$AC$2*$AD$2*$AE$2*$AF$2+'Demand Base Matrix'!I$83*$W$2*$AC$2*$AD$2*$AE$2*$AF$2+'Demand Base Matrix'!I$84)))))</f>
        <v>10</v>
      </c>
      <c r="AM32">
        <f>IF($C32="Validate",(('Demand Base Matrix'!J$2+'Demand Base Matrix'!J$6)*$AC$2*$AD$2*$AE$2+('Demand Base Matrix'!J$3+'Demand Base Matrix'!J$4)*$W$2*$AD$2+'Demand Base Matrix'!J$5*$W$2*$AD$2*$AE$2+'Demand Base Matrix'!J$7+'Demand Base Matrix'!J$8*$AF$2),IF($C32="Integrate",(('Demand Base Matrix'!J$28+'Demand Base Matrix'!J$32)*$AC$2*$AD$2*$AE$2+('Demand Base Matrix'!J$29+'Demand Base Matrix'!J$30)*$W$2*$AD$2+'Demand Base Matrix'!J$31*$W$2*$AD$2*$AE$2+'Demand Base Matrix'!J$33+'Demand Base Matrix'!J$34*$AF$2),IF($C32="Bond",(('Demand Base Matrix'!J$55+'Demand Base Matrix'!J$59)*$AC$2*$AD$2*$AE$2+('Demand Base Matrix'!J$56+'Demand Base Matrix'!J$57)*$W$2*$AD$2+'Demand Base Matrix'!J$58*$W$2*$AD$2*$AE$2+'Demand Base Matrix'!J$60+'Demand Base Matrix'!J$61*$AF$2),IF($C32="Explore",('Demand Base Matrix'!J$82*$AC$2*$AD$2*$AE$2*$AF$2+'Demand Base Matrix'!J$83*$W$2*$AC$2*$AD$2*$AE$2*$AF$2+'Demand Base Matrix'!J$84)))))</f>
        <v>4</v>
      </c>
      <c r="AP32" s="5"/>
      <c r="AQ32" s="5"/>
      <c r="AR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</row>
    <row r="33" spans="1:95" x14ac:dyDescent="0.2">
      <c r="A33" t="s">
        <v>745</v>
      </c>
      <c r="B33" t="s">
        <v>193</v>
      </c>
      <c r="C33" t="s">
        <v>20</v>
      </c>
      <c r="D33" t="s">
        <v>825</v>
      </c>
      <c r="E33" t="s">
        <v>118</v>
      </c>
      <c r="F33" t="s">
        <v>184</v>
      </c>
      <c r="I33" t="str">
        <f>IFERROR(INDEX('Customer 360'!F:F,MATCH(B33,'Customer 360'!A:A,0)),"-")</f>
        <v>C</v>
      </c>
      <c r="J33">
        <v>1773</v>
      </c>
      <c r="K33"/>
      <c r="L33" s="4">
        <v>46273</v>
      </c>
      <c r="M33" s="4">
        <v>46273</v>
      </c>
      <c r="N33">
        <v>2026</v>
      </c>
      <c r="O33" s="4">
        <v>45901</v>
      </c>
      <c r="P33" t="s">
        <v>217</v>
      </c>
      <c r="Q33" s="18">
        <f t="shared" si="0"/>
        <v>45901</v>
      </c>
      <c r="R33" s="18">
        <f>IFERROR(IF(M33&lt;&gt;"",M33,IF(L33&lt;&gt;"",L33,INDEX('CSM RDD'!B:B,MATCH(B33,'CSM RDD'!A:A,0)))),"-")</f>
        <v>46273</v>
      </c>
      <c r="S33" s="18">
        <f t="shared" si="7"/>
        <v>45901</v>
      </c>
      <c r="T33" s="18">
        <f t="shared" si="8"/>
        <v>46266</v>
      </c>
      <c r="U33" s="6">
        <f t="shared" si="9"/>
        <v>1773</v>
      </c>
      <c r="V33" s="18">
        <f t="shared" si="2"/>
        <v>45901</v>
      </c>
      <c r="W33">
        <f>IF(U33=0,1,IF(U33&lt;='Demand Base Matrix'!$K$3,'Demand Base Matrix'!$L$3,IF(U33&lt;='Demand Base Matrix'!$K$4,'Demand Base Matrix'!$L$4,IF(U33&lt;='Demand Base Matrix'!$K$5,'Demand Base Matrix'!$L$5,IF(U33&lt;='Demand Base Matrix'!$K$6,'Demand Base Matrix'!$L$6,IF(U33&lt;='Demand Base Matrix'!$K$7,'Demand Base Matrix'!$L$7))))))</f>
        <v>1</v>
      </c>
      <c r="X33" s="4">
        <f t="shared" si="10"/>
        <v>46266</v>
      </c>
      <c r="Y33" t="str">
        <f t="shared" si="11"/>
        <v>Dx</v>
      </c>
      <c r="Z33" t="s">
        <v>685</v>
      </c>
      <c r="AA33" t="s">
        <v>685</v>
      </c>
      <c r="AB33" t="s">
        <v>685</v>
      </c>
      <c r="AC33">
        <f>IFERROR(INDEX('Demand Base Matrix'!AM:AM,MATCH(Y33,'Demand Base Matrix'!AL:AL,0)),"-")</f>
        <v>1</v>
      </c>
      <c r="AD33">
        <f>IFERROR(INDEX('Demand Base Matrix'!AO:AO,MATCH(Z33,'Demand Base Matrix'!AN:AN,0)),1)</f>
        <v>1</v>
      </c>
      <c r="AE33">
        <f>IFERROR(INDEX('Demand Base Matrix'!AQ:AQ,MATCH(AA33,'Demand Base Matrix'!AP:AP,0)),1)</f>
        <v>1</v>
      </c>
      <c r="AF33">
        <f>IFERROR(INDEX('Demand Base Matrix'!AS:AS,MATCH(AB33,'Demand Base Matrix'!AR:AR,0)),1)</f>
        <v>1</v>
      </c>
      <c r="AG33">
        <f>IF($C33="Validate",(('Demand Base Matrix'!D$2+'Demand Base Matrix'!D$6)*$AC$2*$AD$2*$AE$2+('Demand Base Matrix'!D$3+'Demand Base Matrix'!D$4)*$W$2*$AD$2+'Demand Base Matrix'!D$5*$W$2*$AD$2*$AE$2+'Demand Base Matrix'!D$7+'Demand Base Matrix'!D$8*$AF$2),IF($C33="Integrate",(('Demand Base Matrix'!D$28+'Demand Base Matrix'!D$32)*$AC$2*$AD$2*$AE$2+('Demand Base Matrix'!D$29+'Demand Base Matrix'!D$30)*$W$2*$AD$2+'Demand Base Matrix'!D$31*$W$2*$AD$2*$AE$2+'Demand Base Matrix'!D$33+'Demand Base Matrix'!D$34*$AF$2),IF($C33="Bond",(('Demand Base Matrix'!D$55+'Demand Base Matrix'!D$59)*$AC$2*$AD$2*$AE$2+('Demand Base Matrix'!D$56+'Demand Base Matrix'!D$57)*$W$2*$AD$2+'Demand Base Matrix'!D$58*$W$2*$AD$2*$AE$2+'Demand Base Matrix'!D$60+'Demand Base Matrix'!D$61*$AF$2),IF($C33="Explore",('Demand Base Matrix'!D$82*$AC$2*$AD$2*$AE$2*$AF$2+'Demand Base Matrix'!D$83*$W$2*$AC$2*$AD$2*$AE$2*$AF$2+'Demand Base Matrix'!D$84)))))</f>
        <v>15</v>
      </c>
      <c r="AH33">
        <f>IF($C33="Validate",(('Demand Base Matrix'!E$2+'Demand Base Matrix'!E$6)*$AC$2*$AD$2*$AE$2+('Demand Base Matrix'!E$3+'Demand Base Matrix'!E$4)*$W$2*$AD$2+'Demand Base Matrix'!E$5*$W$2*$AD$2*$AE$2+'Demand Base Matrix'!E$7+'Demand Base Matrix'!E$8*$AF$2),IF($C33="Integrate",(('Demand Base Matrix'!E$28+'Demand Base Matrix'!E$32)*$AC$2*$AD$2*$AE$2+('Demand Base Matrix'!E$29+'Demand Base Matrix'!E$30)*$W$2*$AD$2+'Demand Base Matrix'!E$31*$W$2*$AD$2*$AE$2+'Demand Base Matrix'!E$33+'Demand Base Matrix'!E$34*$AF$2),IF($C33="Bond",(('Demand Base Matrix'!E$55+'Demand Base Matrix'!E$59)*$AC$2*$AD$2*$AE$2+('Demand Base Matrix'!E$56+'Demand Base Matrix'!E$57)*$W$2*$AD$2+'Demand Base Matrix'!E$58*$W$2*$AD$2*$AE$2+'Demand Base Matrix'!E$60+'Demand Base Matrix'!E$61*$AF$2),IF($C33="Explore",('Demand Base Matrix'!E$82*$AC$2*$AD$2*$AE$2*$AF$2+'Demand Base Matrix'!E$83*$W$2*$AC$2*$AD$2*$AE$2*$AF$2+'Demand Base Matrix'!E$84)))))</f>
        <v>15</v>
      </c>
      <c r="AI33">
        <f>IF($C33="Validate",(('Demand Base Matrix'!F$2+'Demand Base Matrix'!F$6)*$AC$2*$AD$2*$AE$2+('Demand Base Matrix'!F$3+'Demand Base Matrix'!F$4)*$W$2*$AD$2+'Demand Base Matrix'!F$5*$W$2*$AD$2*$AE$2+'Demand Base Matrix'!F$7+'Demand Base Matrix'!F$8*$AF$2),IF($C33="Integrate",(('Demand Base Matrix'!F$28+'Demand Base Matrix'!F$32)*$AC$2*$AD$2*$AE$2+('Demand Base Matrix'!F$29+'Demand Base Matrix'!F$30)*$W$2*$AD$2+'Demand Base Matrix'!F$31*$W$2*$AD$2*$AE$2+'Demand Base Matrix'!F$33+'Demand Base Matrix'!F$34*$AF$2),IF($C33="Bond",(('Demand Base Matrix'!F$55+'Demand Base Matrix'!F$59)*$AC$2*$AD$2*$AE$2+('Demand Base Matrix'!F$56+'Demand Base Matrix'!F$57)*$W$2*$AD$2+'Demand Base Matrix'!F$58*$W$2*$AD$2*$AE$2+'Demand Base Matrix'!F$60+'Demand Base Matrix'!F$61*$AF$2),IF($C33="Explore",('Demand Base Matrix'!F$82*$AC$2*$AD$2*$AE$2*$AF$2+'Demand Base Matrix'!F$83*$W$2*$AC$2*$AD$2*$AE$2*$AF$2+'Demand Base Matrix'!F$84)))))</f>
        <v>7</v>
      </c>
      <c r="AJ33">
        <f>IF($C33="Validate",(('Demand Base Matrix'!G$2+'Demand Base Matrix'!G$6)*$AC$2*$AD$2*$AE$2+('Demand Base Matrix'!G$3+'Demand Base Matrix'!G$4)*$W$2*$AD$2+'Demand Base Matrix'!G$5*$W$2*$AD$2*$AE$2+'Demand Base Matrix'!G$7+'Demand Base Matrix'!G$8*$AF$2),IF($C33="Integrate",(('Demand Base Matrix'!G$28+'Demand Base Matrix'!G$32)*$AC$2*$AD$2*$AE$2+('Demand Base Matrix'!G$29+'Demand Base Matrix'!G$30)*$W$2*$AD$2+'Demand Base Matrix'!G$31*$W$2*$AD$2*$AE$2+'Demand Base Matrix'!G$33+'Demand Base Matrix'!G$34*$AF$2),IF($C33="Bond",(('Demand Base Matrix'!G$55+'Demand Base Matrix'!G$59)*$AC$2*$AD$2*$AE$2+('Demand Base Matrix'!G$56+'Demand Base Matrix'!G$57)*$W$2*$AD$2+'Demand Base Matrix'!G$58*$W$2*$AD$2*$AE$2+'Demand Base Matrix'!G$60+'Demand Base Matrix'!G$61*$AF$2),IF($C33="Explore",('Demand Base Matrix'!G$82*$AC$2*$AD$2*$AE$2*$AF$2+'Demand Base Matrix'!G$83*$W$2*$AC$2*$AD$2*$AE$2*$AF$2+'Demand Base Matrix'!G$84)))))</f>
        <v>40</v>
      </c>
      <c r="AK33">
        <f>IF($C33="Validate",(('Demand Base Matrix'!H$2+'Demand Base Matrix'!H$6)*$AC$2*$AD$2*$AE$2+('Demand Base Matrix'!H$3+'Demand Base Matrix'!H$4)*$W$2*$AD$2+'Demand Base Matrix'!H$5*$W$2*$AD$2*$AE$2+'Demand Base Matrix'!H$7+'Demand Base Matrix'!H$8*$AF$2),IF($C33="Integrate",(('Demand Base Matrix'!H$28+'Demand Base Matrix'!H$32)*$AC$2*$AD$2*$AE$2+('Demand Base Matrix'!H$29+'Demand Base Matrix'!H$30)*$W$2*$AD$2+'Demand Base Matrix'!H$31*$W$2*$AD$2*$AE$2+'Demand Base Matrix'!H$33+'Demand Base Matrix'!H$34*$AF$2),IF($C33="Bond",(('Demand Base Matrix'!H$55+'Demand Base Matrix'!H$59)*$AC$2*$AD$2*$AE$2+('Demand Base Matrix'!H$56+'Demand Base Matrix'!H$57)*$W$2*$AD$2+'Demand Base Matrix'!H$58*$W$2*$AD$2*$AE$2+'Demand Base Matrix'!H$60+'Demand Base Matrix'!H$61*$AF$2),IF($C33="Explore",('Demand Base Matrix'!H$82*$AC$2*$AD$2*$AE$2*$AF$2+'Demand Base Matrix'!H$83*$W$2*$AC$2*$AD$2*$AE$2*$AF$2+'Demand Base Matrix'!H$84)))))</f>
        <v>60</v>
      </c>
      <c r="AL33">
        <f>IF($C33="Validate",(('Demand Base Matrix'!I$2+'Demand Base Matrix'!I$6)*$AC$2*$AD$2*$AE$2+('Demand Base Matrix'!I$3+'Demand Base Matrix'!I$4)*$W$2*$AD$2+'Demand Base Matrix'!I$5*$W$2*$AD$2*$AE$2+'Demand Base Matrix'!I$7+'Demand Base Matrix'!I$8*$AF$2),IF($C33="Integrate",(('Demand Base Matrix'!I$28+'Demand Base Matrix'!I$32)*$AC$2*$AD$2*$AE$2+('Demand Base Matrix'!I$29+'Demand Base Matrix'!I$30)*$W$2*$AD$2+'Demand Base Matrix'!I$31*$W$2*$AD$2*$AE$2+'Demand Base Matrix'!I$33+'Demand Base Matrix'!I$34*$AF$2),IF($C33="Bond",(('Demand Base Matrix'!I$55+'Demand Base Matrix'!I$59)*$AC$2*$AD$2*$AE$2+('Demand Base Matrix'!I$56+'Demand Base Matrix'!I$57)*$W$2*$AD$2+'Demand Base Matrix'!I$58*$W$2*$AD$2*$AE$2+'Demand Base Matrix'!I$60+'Demand Base Matrix'!I$61*$AF$2),IF($C33="Explore",('Demand Base Matrix'!I$82*$AC$2*$AD$2*$AE$2*$AF$2+'Demand Base Matrix'!I$83*$W$2*$AC$2*$AD$2*$AE$2*$AF$2+'Demand Base Matrix'!I$84)))))</f>
        <v>10</v>
      </c>
      <c r="AM33">
        <f>IF($C33="Validate",(('Demand Base Matrix'!J$2+'Demand Base Matrix'!J$6)*$AC$2*$AD$2*$AE$2+('Demand Base Matrix'!J$3+'Demand Base Matrix'!J$4)*$W$2*$AD$2+'Demand Base Matrix'!J$5*$W$2*$AD$2*$AE$2+'Demand Base Matrix'!J$7+'Demand Base Matrix'!J$8*$AF$2),IF($C33="Integrate",(('Demand Base Matrix'!J$28+'Demand Base Matrix'!J$32)*$AC$2*$AD$2*$AE$2+('Demand Base Matrix'!J$29+'Demand Base Matrix'!J$30)*$W$2*$AD$2+'Demand Base Matrix'!J$31*$W$2*$AD$2*$AE$2+'Demand Base Matrix'!J$33+'Demand Base Matrix'!J$34*$AF$2),IF($C33="Bond",(('Demand Base Matrix'!J$55+'Demand Base Matrix'!J$59)*$AC$2*$AD$2*$AE$2+('Demand Base Matrix'!J$56+'Demand Base Matrix'!J$57)*$W$2*$AD$2+'Demand Base Matrix'!J$58*$W$2*$AD$2*$AE$2+'Demand Base Matrix'!J$60+'Demand Base Matrix'!J$61*$AF$2),IF($C33="Explore",('Demand Base Matrix'!J$82*$AC$2*$AD$2*$AE$2*$AF$2+'Demand Base Matrix'!J$83*$W$2*$AC$2*$AD$2*$AE$2*$AF$2+'Demand Base Matrix'!J$84)))))</f>
        <v>4</v>
      </c>
      <c r="AP33" s="5"/>
      <c r="AQ33" s="5"/>
      <c r="AR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</row>
    <row r="34" spans="1:95" x14ac:dyDescent="0.2">
      <c r="A34" t="s">
        <v>746</v>
      </c>
      <c r="B34" t="s">
        <v>64</v>
      </c>
      <c r="C34" t="s">
        <v>23</v>
      </c>
      <c r="D34" t="s">
        <v>179</v>
      </c>
      <c r="E34" t="s">
        <v>222</v>
      </c>
      <c r="F34" t="s">
        <v>51</v>
      </c>
      <c r="I34" t="str">
        <f>IFERROR(INDEX('Customer 360'!F:F,MATCH(B34,'Customer 360'!A:A,0)),"-")</f>
        <v>C</v>
      </c>
      <c r="J34">
        <v>3160</v>
      </c>
      <c r="K34"/>
      <c r="L34" s="4">
        <v>46142</v>
      </c>
      <c r="M34" s="4">
        <v>46155</v>
      </c>
      <c r="N34">
        <v>2026</v>
      </c>
      <c r="O34" s="4">
        <v>46023</v>
      </c>
      <c r="P34" t="s">
        <v>217</v>
      </c>
      <c r="Q34" s="18">
        <f t="shared" si="0"/>
        <v>46023</v>
      </c>
      <c r="R34" s="18">
        <f>IFERROR(IF(M34&lt;&gt;"",M34,IF(L34&lt;&gt;"",L34,INDEX('CSM RDD'!B:B,MATCH(B34,'CSM RDD'!A:A,0)))),"-")</f>
        <v>46155</v>
      </c>
      <c r="S34" s="18">
        <f t="shared" si="7"/>
        <v>46023</v>
      </c>
      <c r="T34" s="18">
        <f t="shared" si="8"/>
        <v>46143</v>
      </c>
      <c r="U34" s="6">
        <f t="shared" si="9"/>
        <v>3160</v>
      </c>
      <c r="V34" s="18">
        <f t="shared" ref="V34:V65" si="18">IF(C34&lt;&gt;"Validate",DATE(2026,3,1),O34)</f>
        <v>46082</v>
      </c>
      <c r="W34">
        <f>IF(U34=0,1,IF(U34&lt;='Demand Base Matrix'!$K$3,'Demand Base Matrix'!$L$3,IF(U34&lt;='Demand Base Matrix'!$K$4,'Demand Base Matrix'!$L$4,IF(U34&lt;='Demand Base Matrix'!$K$5,'Demand Base Matrix'!$L$5,IF(U34&lt;='Demand Base Matrix'!$K$6,'Demand Base Matrix'!$L$6,IF(U34&lt;='Demand Base Matrix'!$K$7,'Demand Base Matrix'!$L$7))))))</f>
        <v>1</v>
      </c>
      <c r="X34" s="4">
        <f t="shared" si="10"/>
        <v>46143</v>
      </c>
      <c r="Y34" t="str">
        <f t="shared" si="11"/>
        <v>Dx</v>
      </c>
      <c r="Z34" t="s">
        <v>685</v>
      </c>
      <c r="AA34" t="s">
        <v>685</v>
      </c>
      <c r="AB34" t="s">
        <v>685</v>
      </c>
      <c r="AC34">
        <f>IFERROR(INDEX('Demand Base Matrix'!AM:AM,MATCH(Y34,'Demand Base Matrix'!AL:AL,0)),"-")</f>
        <v>1</v>
      </c>
      <c r="AD34">
        <f>IFERROR(INDEX('Demand Base Matrix'!AO:AO,MATCH(Z34,'Demand Base Matrix'!AN:AN,0)),1)</f>
        <v>1</v>
      </c>
      <c r="AE34">
        <f>IFERROR(INDEX('Demand Base Matrix'!AQ:AQ,MATCH(AA34,'Demand Base Matrix'!AP:AP,0)),1)</f>
        <v>1</v>
      </c>
      <c r="AF34">
        <f>IFERROR(INDEX('Demand Base Matrix'!AS:AS,MATCH(AB34,'Demand Base Matrix'!AR:AR,0)),1)</f>
        <v>1</v>
      </c>
      <c r="AG34">
        <f>IF($C34="Validate",(('Demand Base Matrix'!D$2+'Demand Base Matrix'!D$6)*$AC$2*$AD$2*$AE$2+('Demand Base Matrix'!D$3+'Demand Base Matrix'!D$4)*$W$2*$AD$2+'Demand Base Matrix'!D$5*$W$2*$AD$2*$AE$2+'Demand Base Matrix'!D$7+'Demand Base Matrix'!D$8*$AF$2),IF($C34="Integrate",(('Demand Base Matrix'!D$28+'Demand Base Matrix'!D$32)*$AC$2*$AD$2*$AE$2+('Demand Base Matrix'!D$29+'Demand Base Matrix'!D$30)*$W$2*$AD$2+'Demand Base Matrix'!D$31*$W$2*$AD$2*$AE$2+'Demand Base Matrix'!D$33+'Demand Base Matrix'!D$34*$AF$2),IF($C34="Bond",(('Demand Base Matrix'!D$55+'Demand Base Matrix'!D$59)*$AC$2*$AD$2*$AE$2+('Demand Base Matrix'!D$56+'Demand Base Matrix'!D$57)*$W$2*$AD$2+'Demand Base Matrix'!D$58*$W$2*$AD$2*$AE$2+'Demand Base Matrix'!D$60+'Demand Base Matrix'!D$61*$AF$2),IF($C34="Explore",('Demand Base Matrix'!D$82*$AC$2*$AD$2*$AE$2*$AF$2+'Demand Base Matrix'!D$83*$W$2*$AC$2*$AD$2*$AE$2*$AF$2+'Demand Base Matrix'!D$84)))))</f>
        <v>10</v>
      </c>
      <c r="AH34">
        <f>IF($C34="Validate",(('Demand Base Matrix'!E$2+'Demand Base Matrix'!E$6)*$AC$2*$AD$2*$AE$2+('Demand Base Matrix'!E$3+'Demand Base Matrix'!E$4)*$W$2*$AD$2+'Demand Base Matrix'!E$5*$W$2*$AD$2*$AE$2+'Demand Base Matrix'!E$7+'Demand Base Matrix'!E$8*$AF$2),IF($C34="Integrate",(('Demand Base Matrix'!E$28+'Demand Base Matrix'!E$32)*$AC$2*$AD$2*$AE$2+('Demand Base Matrix'!E$29+'Demand Base Matrix'!E$30)*$W$2*$AD$2+'Demand Base Matrix'!E$31*$W$2*$AD$2*$AE$2+'Demand Base Matrix'!E$33+'Demand Base Matrix'!E$34*$AF$2),IF($C34="Bond",(('Demand Base Matrix'!E$55+'Demand Base Matrix'!E$59)*$AC$2*$AD$2*$AE$2+('Demand Base Matrix'!E$56+'Demand Base Matrix'!E$57)*$W$2*$AD$2+'Demand Base Matrix'!E$58*$W$2*$AD$2*$AE$2+'Demand Base Matrix'!E$60+'Demand Base Matrix'!E$61*$AF$2),IF($C34="Explore",('Demand Base Matrix'!E$82*$AC$2*$AD$2*$AE$2*$AF$2+'Demand Base Matrix'!E$83*$W$2*$AC$2*$AD$2*$AE$2*$AF$2+'Demand Base Matrix'!E$84)))))</f>
        <v>10</v>
      </c>
      <c r="AI34">
        <f>IF($C34="Validate",(('Demand Base Matrix'!F$2+'Demand Base Matrix'!F$6)*$AC$2*$AD$2*$AE$2+('Demand Base Matrix'!F$3+'Demand Base Matrix'!F$4)*$W$2*$AD$2+'Demand Base Matrix'!F$5*$W$2*$AD$2*$AE$2+'Demand Base Matrix'!F$7+'Demand Base Matrix'!F$8*$AF$2),IF($C34="Integrate",(('Demand Base Matrix'!F$28+'Demand Base Matrix'!F$32)*$AC$2*$AD$2*$AE$2+('Demand Base Matrix'!F$29+'Demand Base Matrix'!F$30)*$W$2*$AD$2+'Demand Base Matrix'!F$31*$W$2*$AD$2*$AE$2+'Demand Base Matrix'!F$33+'Demand Base Matrix'!F$34*$AF$2),IF($C34="Bond",(('Demand Base Matrix'!F$55+'Demand Base Matrix'!F$59)*$AC$2*$AD$2*$AE$2+('Demand Base Matrix'!F$56+'Demand Base Matrix'!F$57)*$W$2*$AD$2+'Demand Base Matrix'!F$58*$W$2*$AD$2*$AE$2+'Demand Base Matrix'!F$60+'Demand Base Matrix'!F$61*$AF$2),IF($C34="Explore",('Demand Base Matrix'!F$82*$AC$2*$AD$2*$AE$2*$AF$2+'Demand Base Matrix'!F$83*$W$2*$AC$2*$AD$2*$AE$2*$AF$2+'Demand Base Matrix'!F$84)))))</f>
        <v>10</v>
      </c>
      <c r="AJ34">
        <f>IF($C34="Validate",(('Demand Base Matrix'!G$2+'Demand Base Matrix'!G$6)*$AC$2*$AD$2*$AE$2+('Demand Base Matrix'!G$3+'Demand Base Matrix'!G$4)*$W$2*$AD$2+'Demand Base Matrix'!G$5*$W$2*$AD$2*$AE$2+'Demand Base Matrix'!G$7+'Demand Base Matrix'!G$8*$AF$2),IF($C34="Integrate",(('Demand Base Matrix'!G$28+'Demand Base Matrix'!G$32)*$AC$2*$AD$2*$AE$2+('Demand Base Matrix'!G$29+'Demand Base Matrix'!G$30)*$W$2*$AD$2+'Demand Base Matrix'!G$31*$W$2*$AD$2*$AE$2+'Demand Base Matrix'!G$33+'Demand Base Matrix'!G$34*$AF$2),IF($C34="Bond",(('Demand Base Matrix'!G$55+'Demand Base Matrix'!G$59)*$AC$2*$AD$2*$AE$2+('Demand Base Matrix'!G$56+'Demand Base Matrix'!G$57)*$W$2*$AD$2+'Demand Base Matrix'!G$58*$W$2*$AD$2*$AE$2+'Demand Base Matrix'!G$60+'Demand Base Matrix'!G$61*$AF$2),IF($C34="Explore",('Demand Base Matrix'!G$82*$AC$2*$AD$2*$AE$2*$AF$2+'Demand Base Matrix'!G$83*$W$2*$AC$2*$AD$2*$AE$2*$AF$2+'Demand Base Matrix'!G$84)))))</f>
        <v>50</v>
      </c>
      <c r="AK34">
        <f>IF($C34="Validate",(('Demand Base Matrix'!H$2+'Demand Base Matrix'!H$6)*$AC$2*$AD$2*$AE$2+('Demand Base Matrix'!H$3+'Demand Base Matrix'!H$4)*$W$2*$AD$2+'Demand Base Matrix'!H$5*$W$2*$AD$2*$AE$2+'Demand Base Matrix'!H$7+'Demand Base Matrix'!H$8*$AF$2),IF($C34="Integrate",(('Demand Base Matrix'!H$28+'Demand Base Matrix'!H$32)*$AC$2*$AD$2*$AE$2+('Demand Base Matrix'!H$29+'Demand Base Matrix'!H$30)*$W$2*$AD$2+'Demand Base Matrix'!H$31*$W$2*$AD$2*$AE$2+'Demand Base Matrix'!H$33+'Demand Base Matrix'!H$34*$AF$2),IF($C34="Bond",(('Demand Base Matrix'!H$55+'Demand Base Matrix'!H$59)*$AC$2*$AD$2*$AE$2+('Demand Base Matrix'!H$56+'Demand Base Matrix'!H$57)*$W$2*$AD$2+'Demand Base Matrix'!H$58*$W$2*$AD$2*$AE$2+'Demand Base Matrix'!H$60+'Demand Base Matrix'!H$61*$AF$2),IF($C34="Explore",('Demand Base Matrix'!H$82*$AC$2*$AD$2*$AE$2*$AF$2+'Demand Base Matrix'!H$83*$W$2*$AC$2*$AD$2*$AE$2*$AF$2+'Demand Base Matrix'!H$84)))))</f>
        <v>28</v>
      </c>
      <c r="AL34">
        <f>IF($C34="Validate",(('Demand Base Matrix'!I$2+'Demand Base Matrix'!I$6)*$AC$2*$AD$2*$AE$2+('Demand Base Matrix'!I$3+'Demand Base Matrix'!I$4)*$W$2*$AD$2+'Demand Base Matrix'!I$5*$W$2*$AD$2*$AE$2+'Demand Base Matrix'!I$7+'Demand Base Matrix'!I$8*$AF$2),IF($C34="Integrate",(('Demand Base Matrix'!I$28+'Demand Base Matrix'!I$32)*$AC$2*$AD$2*$AE$2+('Demand Base Matrix'!I$29+'Demand Base Matrix'!I$30)*$W$2*$AD$2+'Demand Base Matrix'!I$31*$W$2*$AD$2*$AE$2+'Demand Base Matrix'!I$33+'Demand Base Matrix'!I$34*$AF$2),IF($C34="Bond",(('Demand Base Matrix'!I$55+'Demand Base Matrix'!I$59)*$AC$2*$AD$2*$AE$2+('Demand Base Matrix'!I$56+'Demand Base Matrix'!I$57)*$W$2*$AD$2+'Demand Base Matrix'!I$58*$W$2*$AD$2*$AE$2+'Demand Base Matrix'!I$60+'Demand Base Matrix'!I$61*$AF$2),IF($C34="Explore",('Demand Base Matrix'!I$82*$AC$2*$AD$2*$AE$2*$AF$2+'Demand Base Matrix'!I$83*$W$2*$AC$2*$AD$2*$AE$2*$AF$2+'Demand Base Matrix'!I$84)))))</f>
        <v>8</v>
      </c>
      <c r="AM34">
        <f>IF($C34="Validate",(('Demand Base Matrix'!J$2+'Demand Base Matrix'!J$6)*$AC$2*$AD$2*$AE$2+('Demand Base Matrix'!J$3+'Demand Base Matrix'!J$4)*$W$2*$AD$2+'Demand Base Matrix'!J$5*$W$2*$AD$2*$AE$2+'Demand Base Matrix'!J$7+'Demand Base Matrix'!J$8*$AF$2),IF($C34="Integrate",(('Demand Base Matrix'!J$28+'Demand Base Matrix'!J$32)*$AC$2*$AD$2*$AE$2+('Demand Base Matrix'!J$29+'Demand Base Matrix'!J$30)*$W$2*$AD$2+'Demand Base Matrix'!J$31*$W$2*$AD$2*$AE$2+'Demand Base Matrix'!J$33+'Demand Base Matrix'!J$34*$AF$2),IF($C34="Bond",(('Demand Base Matrix'!J$55+'Demand Base Matrix'!J$59)*$AC$2*$AD$2*$AE$2+('Demand Base Matrix'!J$56+'Demand Base Matrix'!J$57)*$W$2*$AD$2+'Demand Base Matrix'!J$58*$W$2*$AD$2*$AE$2+'Demand Base Matrix'!J$60+'Demand Base Matrix'!J$61*$AF$2),IF($C34="Explore",('Demand Base Matrix'!J$82*$AC$2*$AD$2*$AE$2*$AF$2+'Demand Base Matrix'!J$83*$W$2*$AC$2*$AD$2*$AE$2*$AF$2+'Demand Base Matrix'!J$84)))))</f>
        <v>8</v>
      </c>
      <c r="AP34" s="5"/>
      <c r="AQ34" s="5"/>
      <c r="AR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</row>
    <row r="35" spans="1:95" x14ac:dyDescent="0.2">
      <c r="A35" t="s">
        <v>747</v>
      </c>
      <c r="B35" t="s">
        <v>65</v>
      </c>
      <c r="C35" t="s">
        <v>23</v>
      </c>
      <c r="D35" t="s">
        <v>179</v>
      </c>
      <c r="E35" t="s">
        <v>117</v>
      </c>
      <c r="F35" t="s">
        <v>51</v>
      </c>
      <c r="I35" t="str">
        <f>IFERROR(INDEX('Customer 360'!F:F,MATCH(B35,'Customer 360'!A:A,0)),"-")</f>
        <v>C</v>
      </c>
      <c r="J35">
        <v>3423</v>
      </c>
      <c r="K35">
        <v>0</v>
      </c>
      <c r="L35" s="4">
        <v>46209</v>
      </c>
      <c r="M35" s="4">
        <v>46209</v>
      </c>
      <c r="N35">
        <v>2026</v>
      </c>
      <c r="O35" s="4">
        <v>46023</v>
      </c>
      <c r="P35" t="s">
        <v>217</v>
      </c>
      <c r="Q35" s="18">
        <f t="shared" si="0"/>
        <v>46023</v>
      </c>
      <c r="R35" s="18">
        <f>IFERROR(IF(M35&lt;&gt;"",M35,IF(L35&lt;&gt;"",L35,INDEX('CSM RDD'!B:B,MATCH(B35,'CSM RDD'!A:A,0)))),"-")</f>
        <v>46209</v>
      </c>
      <c r="S35" s="18">
        <f t="shared" si="7"/>
        <v>46023</v>
      </c>
      <c r="T35" s="18">
        <f t="shared" si="8"/>
        <v>46204</v>
      </c>
      <c r="U35" s="6">
        <f t="shared" si="9"/>
        <v>3423</v>
      </c>
      <c r="V35" s="18">
        <f t="shared" si="18"/>
        <v>46082</v>
      </c>
      <c r="W35">
        <f>IF(U35=0,1,IF(U35&lt;='Demand Base Matrix'!$K$3,'Demand Base Matrix'!$L$3,IF(U35&lt;='Demand Base Matrix'!$K$4,'Demand Base Matrix'!$L$4,IF(U35&lt;='Demand Base Matrix'!$K$5,'Demand Base Matrix'!$L$5,IF(U35&lt;='Demand Base Matrix'!$K$6,'Demand Base Matrix'!$L$6,IF(U35&lt;='Demand Base Matrix'!$K$7,'Demand Base Matrix'!$L$7))))))</f>
        <v>1</v>
      </c>
      <c r="X35" s="4">
        <f t="shared" si="10"/>
        <v>46204</v>
      </c>
      <c r="Y35" t="str">
        <f t="shared" si="11"/>
        <v>Dx</v>
      </c>
      <c r="Z35" t="s">
        <v>685</v>
      </c>
      <c r="AA35" t="s">
        <v>685</v>
      </c>
      <c r="AB35" t="s">
        <v>685</v>
      </c>
      <c r="AC35">
        <f>IFERROR(INDEX('Demand Base Matrix'!AM:AM,MATCH(Y35,'Demand Base Matrix'!AL:AL,0)),"-")</f>
        <v>1</v>
      </c>
      <c r="AD35">
        <f>IFERROR(INDEX('Demand Base Matrix'!AO:AO,MATCH(Z35,'Demand Base Matrix'!AN:AN,0)),1)</f>
        <v>1</v>
      </c>
      <c r="AE35">
        <f>IFERROR(INDEX('Demand Base Matrix'!AQ:AQ,MATCH(AA35,'Demand Base Matrix'!AP:AP,0)),1)</f>
        <v>1</v>
      </c>
      <c r="AF35">
        <f>IFERROR(INDEX('Demand Base Matrix'!AS:AS,MATCH(AB35,'Demand Base Matrix'!AR:AR,0)),1)</f>
        <v>1</v>
      </c>
      <c r="AG35">
        <f>IF($C35="Validate",(('Demand Base Matrix'!D$2+'Demand Base Matrix'!D$6)*$AC$2*$AD$2*$AE$2+('Demand Base Matrix'!D$3+'Demand Base Matrix'!D$4)*$W$2*$AD$2+'Demand Base Matrix'!D$5*$W$2*$AD$2*$AE$2+'Demand Base Matrix'!D$7+'Demand Base Matrix'!D$8*$AF$2),IF($C35="Integrate",(('Demand Base Matrix'!D$28+'Demand Base Matrix'!D$32)*$AC$2*$AD$2*$AE$2+('Demand Base Matrix'!D$29+'Demand Base Matrix'!D$30)*$W$2*$AD$2+'Demand Base Matrix'!D$31*$W$2*$AD$2*$AE$2+'Demand Base Matrix'!D$33+'Demand Base Matrix'!D$34*$AF$2),IF($C35="Bond",(('Demand Base Matrix'!D$55+'Demand Base Matrix'!D$59)*$AC$2*$AD$2*$AE$2+('Demand Base Matrix'!D$56+'Demand Base Matrix'!D$57)*$W$2*$AD$2+'Demand Base Matrix'!D$58*$W$2*$AD$2*$AE$2+'Demand Base Matrix'!D$60+'Demand Base Matrix'!D$61*$AF$2),IF($C35="Explore",('Demand Base Matrix'!D$82*$AC$2*$AD$2*$AE$2*$AF$2+'Demand Base Matrix'!D$83*$W$2*$AC$2*$AD$2*$AE$2*$AF$2+'Demand Base Matrix'!D$84)))))</f>
        <v>10</v>
      </c>
      <c r="AH35">
        <f>IF($C35="Validate",(('Demand Base Matrix'!E$2+'Demand Base Matrix'!E$6)*$AC$2*$AD$2*$AE$2+('Demand Base Matrix'!E$3+'Demand Base Matrix'!E$4)*$W$2*$AD$2+'Demand Base Matrix'!E$5*$W$2*$AD$2*$AE$2+'Demand Base Matrix'!E$7+'Demand Base Matrix'!E$8*$AF$2),IF($C35="Integrate",(('Demand Base Matrix'!E$28+'Demand Base Matrix'!E$32)*$AC$2*$AD$2*$AE$2+('Demand Base Matrix'!E$29+'Demand Base Matrix'!E$30)*$W$2*$AD$2+'Demand Base Matrix'!E$31*$W$2*$AD$2*$AE$2+'Demand Base Matrix'!E$33+'Demand Base Matrix'!E$34*$AF$2),IF($C35="Bond",(('Demand Base Matrix'!E$55+'Demand Base Matrix'!E$59)*$AC$2*$AD$2*$AE$2+('Demand Base Matrix'!E$56+'Demand Base Matrix'!E$57)*$W$2*$AD$2+'Demand Base Matrix'!E$58*$W$2*$AD$2*$AE$2+'Demand Base Matrix'!E$60+'Demand Base Matrix'!E$61*$AF$2),IF($C35="Explore",('Demand Base Matrix'!E$82*$AC$2*$AD$2*$AE$2*$AF$2+'Demand Base Matrix'!E$83*$W$2*$AC$2*$AD$2*$AE$2*$AF$2+'Demand Base Matrix'!E$84)))))</f>
        <v>10</v>
      </c>
      <c r="AI35">
        <f>IF($C35="Validate",(('Demand Base Matrix'!F$2+'Demand Base Matrix'!F$6)*$AC$2*$AD$2*$AE$2+('Demand Base Matrix'!F$3+'Demand Base Matrix'!F$4)*$W$2*$AD$2+'Demand Base Matrix'!F$5*$W$2*$AD$2*$AE$2+'Demand Base Matrix'!F$7+'Demand Base Matrix'!F$8*$AF$2),IF($C35="Integrate",(('Demand Base Matrix'!F$28+'Demand Base Matrix'!F$32)*$AC$2*$AD$2*$AE$2+('Demand Base Matrix'!F$29+'Demand Base Matrix'!F$30)*$W$2*$AD$2+'Demand Base Matrix'!F$31*$W$2*$AD$2*$AE$2+'Demand Base Matrix'!F$33+'Demand Base Matrix'!F$34*$AF$2),IF($C35="Bond",(('Demand Base Matrix'!F$55+'Demand Base Matrix'!F$59)*$AC$2*$AD$2*$AE$2+('Demand Base Matrix'!F$56+'Demand Base Matrix'!F$57)*$W$2*$AD$2+'Demand Base Matrix'!F$58*$W$2*$AD$2*$AE$2+'Demand Base Matrix'!F$60+'Demand Base Matrix'!F$61*$AF$2),IF($C35="Explore",('Demand Base Matrix'!F$82*$AC$2*$AD$2*$AE$2*$AF$2+'Demand Base Matrix'!F$83*$W$2*$AC$2*$AD$2*$AE$2*$AF$2+'Demand Base Matrix'!F$84)))))</f>
        <v>10</v>
      </c>
      <c r="AJ35">
        <f>IF($C35="Validate",(('Demand Base Matrix'!G$2+'Demand Base Matrix'!G$6)*$AC$2*$AD$2*$AE$2+('Demand Base Matrix'!G$3+'Demand Base Matrix'!G$4)*$W$2*$AD$2+'Demand Base Matrix'!G$5*$W$2*$AD$2*$AE$2+'Demand Base Matrix'!G$7+'Demand Base Matrix'!G$8*$AF$2),IF($C35="Integrate",(('Demand Base Matrix'!G$28+'Demand Base Matrix'!G$32)*$AC$2*$AD$2*$AE$2+('Demand Base Matrix'!G$29+'Demand Base Matrix'!G$30)*$W$2*$AD$2+'Demand Base Matrix'!G$31*$W$2*$AD$2*$AE$2+'Demand Base Matrix'!G$33+'Demand Base Matrix'!G$34*$AF$2),IF($C35="Bond",(('Demand Base Matrix'!G$55+'Demand Base Matrix'!G$59)*$AC$2*$AD$2*$AE$2+('Demand Base Matrix'!G$56+'Demand Base Matrix'!G$57)*$W$2*$AD$2+'Demand Base Matrix'!G$58*$W$2*$AD$2*$AE$2+'Demand Base Matrix'!G$60+'Demand Base Matrix'!G$61*$AF$2),IF($C35="Explore",('Demand Base Matrix'!G$82*$AC$2*$AD$2*$AE$2*$AF$2+'Demand Base Matrix'!G$83*$W$2*$AC$2*$AD$2*$AE$2*$AF$2+'Demand Base Matrix'!G$84)))))</f>
        <v>50</v>
      </c>
      <c r="AK35">
        <f>IF($C35="Validate",(('Demand Base Matrix'!H$2+'Demand Base Matrix'!H$6)*$AC$2*$AD$2*$AE$2+('Demand Base Matrix'!H$3+'Demand Base Matrix'!H$4)*$W$2*$AD$2+'Demand Base Matrix'!H$5*$W$2*$AD$2*$AE$2+'Demand Base Matrix'!H$7+'Demand Base Matrix'!H$8*$AF$2),IF($C35="Integrate",(('Demand Base Matrix'!H$28+'Demand Base Matrix'!H$32)*$AC$2*$AD$2*$AE$2+('Demand Base Matrix'!H$29+'Demand Base Matrix'!H$30)*$W$2*$AD$2+'Demand Base Matrix'!H$31*$W$2*$AD$2*$AE$2+'Demand Base Matrix'!H$33+'Demand Base Matrix'!H$34*$AF$2),IF($C35="Bond",(('Demand Base Matrix'!H$55+'Demand Base Matrix'!H$59)*$AC$2*$AD$2*$AE$2+('Demand Base Matrix'!H$56+'Demand Base Matrix'!H$57)*$W$2*$AD$2+'Demand Base Matrix'!H$58*$W$2*$AD$2*$AE$2+'Demand Base Matrix'!H$60+'Demand Base Matrix'!H$61*$AF$2),IF($C35="Explore",('Demand Base Matrix'!H$82*$AC$2*$AD$2*$AE$2*$AF$2+'Demand Base Matrix'!H$83*$W$2*$AC$2*$AD$2*$AE$2*$AF$2+'Demand Base Matrix'!H$84)))))</f>
        <v>28</v>
      </c>
      <c r="AL35">
        <f>IF($C35="Validate",(('Demand Base Matrix'!I$2+'Demand Base Matrix'!I$6)*$AC$2*$AD$2*$AE$2+('Demand Base Matrix'!I$3+'Demand Base Matrix'!I$4)*$W$2*$AD$2+'Demand Base Matrix'!I$5*$W$2*$AD$2*$AE$2+'Demand Base Matrix'!I$7+'Demand Base Matrix'!I$8*$AF$2),IF($C35="Integrate",(('Demand Base Matrix'!I$28+'Demand Base Matrix'!I$32)*$AC$2*$AD$2*$AE$2+('Demand Base Matrix'!I$29+'Demand Base Matrix'!I$30)*$W$2*$AD$2+'Demand Base Matrix'!I$31*$W$2*$AD$2*$AE$2+'Demand Base Matrix'!I$33+'Demand Base Matrix'!I$34*$AF$2),IF($C35="Bond",(('Demand Base Matrix'!I$55+'Demand Base Matrix'!I$59)*$AC$2*$AD$2*$AE$2+('Demand Base Matrix'!I$56+'Demand Base Matrix'!I$57)*$W$2*$AD$2+'Demand Base Matrix'!I$58*$W$2*$AD$2*$AE$2+'Demand Base Matrix'!I$60+'Demand Base Matrix'!I$61*$AF$2),IF($C35="Explore",('Demand Base Matrix'!I$82*$AC$2*$AD$2*$AE$2*$AF$2+'Demand Base Matrix'!I$83*$W$2*$AC$2*$AD$2*$AE$2*$AF$2+'Demand Base Matrix'!I$84)))))</f>
        <v>8</v>
      </c>
      <c r="AM35">
        <f>IF($C35="Validate",(('Demand Base Matrix'!J$2+'Demand Base Matrix'!J$6)*$AC$2*$AD$2*$AE$2+('Demand Base Matrix'!J$3+'Demand Base Matrix'!J$4)*$W$2*$AD$2+'Demand Base Matrix'!J$5*$W$2*$AD$2*$AE$2+'Demand Base Matrix'!J$7+'Demand Base Matrix'!J$8*$AF$2),IF($C35="Integrate",(('Demand Base Matrix'!J$28+'Demand Base Matrix'!J$32)*$AC$2*$AD$2*$AE$2+('Demand Base Matrix'!J$29+'Demand Base Matrix'!J$30)*$W$2*$AD$2+'Demand Base Matrix'!J$31*$W$2*$AD$2*$AE$2+'Demand Base Matrix'!J$33+'Demand Base Matrix'!J$34*$AF$2),IF($C35="Bond",(('Demand Base Matrix'!J$55+'Demand Base Matrix'!J$59)*$AC$2*$AD$2*$AE$2+('Demand Base Matrix'!J$56+'Demand Base Matrix'!J$57)*$W$2*$AD$2+'Demand Base Matrix'!J$58*$W$2*$AD$2*$AE$2+'Demand Base Matrix'!J$60+'Demand Base Matrix'!J$61*$AF$2),IF($C35="Explore",('Demand Base Matrix'!J$82*$AC$2*$AD$2*$AE$2*$AF$2+'Demand Base Matrix'!J$83*$W$2*$AC$2*$AD$2*$AE$2*$AF$2+'Demand Base Matrix'!J$84)))))</f>
        <v>8</v>
      </c>
      <c r="AP35" s="5"/>
      <c r="AQ35" s="5"/>
      <c r="AR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</row>
    <row r="36" spans="1:95" x14ac:dyDescent="0.2">
      <c r="A36" t="s">
        <v>748</v>
      </c>
      <c r="B36" t="s">
        <v>66</v>
      </c>
      <c r="C36" t="s">
        <v>32</v>
      </c>
      <c r="D36" t="s">
        <v>177</v>
      </c>
      <c r="E36" t="s">
        <v>119</v>
      </c>
      <c r="F36" t="s">
        <v>109</v>
      </c>
      <c r="I36" t="str">
        <f>IFERROR(INDEX('Customer 360'!F:F,MATCH(B36,'Customer 360'!A:A,0)),"-")</f>
        <v>A</v>
      </c>
      <c r="J36">
        <v>38408</v>
      </c>
      <c r="K36"/>
      <c r="L36" s="4">
        <v>46287</v>
      </c>
      <c r="M36" s="4">
        <v>46287</v>
      </c>
      <c r="N36">
        <v>2026</v>
      </c>
      <c r="O36" s="4">
        <v>46023</v>
      </c>
      <c r="P36" t="s">
        <v>217</v>
      </c>
      <c r="Q36" s="18">
        <f t="shared" si="0"/>
        <v>46023</v>
      </c>
      <c r="R36" s="18">
        <f>IFERROR(IF(M36&lt;&gt;"",M36,IF(L36&lt;&gt;"",L36,INDEX('CSM RDD'!B:B,MATCH(B36,'CSM RDD'!A:A,0)))),"-")</f>
        <v>46287</v>
      </c>
      <c r="S36" s="18">
        <f t="shared" si="7"/>
        <v>46023</v>
      </c>
      <c r="T36" s="18">
        <f t="shared" si="8"/>
        <v>46266</v>
      </c>
      <c r="U36" s="6">
        <f t="shared" si="9"/>
        <v>38408</v>
      </c>
      <c r="V36" s="18">
        <f t="shared" si="18"/>
        <v>46082</v>
      </c>
      <c r="W36">
        <f>IF(U36=0,1,IF(U36&lt;='Demand Base Matrix'!$K$3,'Demand Base Matrix'!$L$3,IF(U36&lt;='Demand Base Matrix'!$K$4,'Demand Base Matrix'!$L$4,IF(U36&lt;='Demand Base Matrix'!$K$5,'Demand Base Matrix'!$L$5,IF(U36&lt;='Demand Base Matrix'!$K$6,'Demand Base Matrix'!$L$6,IF(U36&lt;='Demand Base Matrix'!$K$7,'Demand Base Matrix'!$L$7))))))</f>
        <v>2</v>
      </c>
      <c r="X36" s="4">
        <f t="shared" si="10"/>
        <v>46266</v>
      </c>
      <c r="Y36" t="str">
        <f t="shared" si="11"/>
        <v>Dx</v>
      </c>
      <c r="Z36" t="s">
        <v>685</v>
      </c>
      <c r="AA36" t="s">
        <v>685</v>
      </c>
      <c r="AB36" t="s">
        <v>685</v>
      </c>
      <c r="AC36">
        <f>IFERROR(INDEX('Demand Base Matrix'!AM:AM,MATCH(Y36,'Demand Base Matrix'!AL:AL,0)),"-")</f>
        <v>1</v>
      </c>
      <c r="AD36">
        <f>IFERROR(INDEX('Demand Base Matrix'!AO:AO,MATCH(Z36,'Demand Base Matrix'!AN:AN,0)),1)</f>
        <v>1</v>
      </c>
      <c r="AE36">
        <f>IFERROR(INDEX('Demand Base Matrix'!AQ:AQ,MATCH(AA36,'Demand Base Matrix'!AP:AP,0)),1)</f>
        <v>1</v>
      </c>
      <c r="AF36">
        <f>IFERROR(INDEX('Demand Base Matrix'!AS:AS,MATCH(AB36,'Demand Base Matrix'!AR:AR,0)),1)</f>
        <v>1</v>
      </c>
      <c r="AG36">
        <f>IF($C36="Validate",(('Demand Base Matrix'!D$2+'Demand Base Matrix'!D$6)*$AC$2*$AD$2*$AE$2+('Demand Base Matrix'!D$3+'Demand Base Matrix'!D$4)*$W$2*$AD$2+'Demand Base Matrix'!D$5*$W$2*$AD$2*$AE$2+'Demand Base Matrix'!D$7+'Demand Base Matrix'!D$8*$AF$2),IF($C36="Integrate",(('Demand Base Matrix'!D$28+'Demand Base Matrix'!D$32)*$AC$2*$AD$2*$AE$2+('Demand Base Matrix'!D$29+'Demand Base Matrix'!D$30)*$W$2*$AD$2+'Demand Base Matrix'!D$31*$W$2*$AD$2*$AE$2+'Demand Base Matrix'!D$33+'Demand Base Matrix'!D$34*$AF$2),IF($C36="Bond",(('Demand Base Matrix'!D$55+'Demand Base Matrix'!D$59)*$AC$2*$AD$2*$AE$2+('Demand Base Matrix'!D$56+'Demand Base Matrix'!D$57)*$W$2*$AD$2+'Demand Base Matrix'!D$58*$W$2*$AD$2*$AE$2+'Demand Base Matrix'!D$60+'Demand Base Matrix'!D$61*$AF$2),IF($C36="Explore",('Demand Base Matrix'!D$82*$AC$2*$AD$2*$AE$2*$AF$2+'Demand Base Matrix'!D$83*$W$2*$AC$2*$AD$2*$AE$2*$AF$2+'Demand Base Matrix'!D$84)))))</f>
        <v>10</v>
      </c>
      <c r="AH36">
        <f>IF($C36="Validate",(('Demand Base Matrix'!E$2+'Demand Base Matrix'!E$6)*$AC$2*$AD$2*$AE$2+('Demand Base Matrix'!E$3+'Demand Base Matrix'!E$4)*$W$2*$AD$2+'Demand Base Matrix'!E$5*$W$2*$AD$2*$AE$2+'Demand Base Matrix'!E$7+'Demand Base Matrix'!E$8*$AF$2),IF($C36="Integrate",(('Demand Base Matrix'!E$28+'Demand Base Matrix'!E$32)*$AC$2*$AD$2*$AE$2+('Demand Base Matrix'!E$29+'Demand Base Matrix'!E$30)*$W$2*$AD$2+'Demand Base Matrix'!E$31*$W$2*$AD$2*$AE$2+'Demand Base Matrix'!E$33+'Demand Base Matrix'!E$34*$AF$2),IF($C36="Bond",(('Demand Base Matrix'!E$55+'Demand Base Matrix'!E$59)*$AC$2*$AD$2*$AE$2+('Demand Base Matrix'!E$56+'Demand Base Matrix'!E$57)*$W$2*$AD$2+'Demand Base Matrix'!E$58*$W$2*$AD$2*$AE$2+'Demand Base Matrix'!E$60+'Demand Base Matrix'!E$61*$AF$2),IF($C36="Explore",('Demand Base Matrix'!E$82*$AC$2*$AD$2*$AE$2*$AF$2+'Demand Base Matrix'!E$83*$W$2*$AC$2*$AD$2*$AE$2*$AF$2+'Demand Base Matrix'!E$84)))))</f>
        <v>20</v>
      </c>
      <c r="AI36">
        <f>IF($C36="Validate",(('Demand Base Matrix'!F$2+'Demand Base Matrix'!F$6)*$AC$2*$AD$2*$AE$2+('Demand Base Matrix'!F$3+'Demand Base Matrix'!F$4)*$W$2*$AD$2+'Demand Base Matrix'!F$5*$W$2*$AD$2*$AE$2+'Demand Base Matrix'!F$7+'Demand Base Matrix'!F$8*$AF$2),IF($C36="Integrate",(('Demand Base Matrix'!F$28+'Demand Base Matrix'!F$32)*$AC$2*$AD$2*$AE$2+('Demand Base Matrix'!F$29+'Demand Base Matrix'!F$30)*$W$2*$AD$2+'Demand Base Matrix'!F$31*$W$2*$AD$2*$AE$2+'Demand Base Matrix'!F$33+'Demand Base Matrix'!F$34*$AF$2),IF($C36="Bond",(('Demand Base Matrix'!F$55+'Demand Base Matrix'!F$59)*$AC$2*$AD$2*$AE$2+('Demand Base Matrix'!F$56+'Demand Base Matrix'!F$57)*$W$2*$AD$2+'Demand Base Matrix'!F$58*$W$2*$AD$2*$AE$2+'Demand Base Matrix'!F$60+'Demand Base Matrix'!F$61*$AF$2),IF($C36="Explore",('Demand Base Matrix'!F$82*$AC$2*$AD$2*$AE$2*$AF$2+'Demand Base Matrix'!F$83*$W$2*$AC$2*$AD$2*$AE$2*$AF$2+'Demand Base Matrix'!F$84)))))</f>
        <v>10</v>
      </c>
      <c r="AJ36">
        <f>IF($C36="Validate",(('Demand Base Matrix'!G$2+'Demand Base Matrix'!G$6)*$AC$2*$AD$2*$AE$2+('Demand Base Matrix'!G$3+'Demand Base Matrix'!G$4)*$W$2*$AD$2+'Demand Base Matrix'!G$5*$W$2*$AD$2*$AE$2+'Demand Base Matrix'!G$7+'Demand Base Matrix'!G$8*$AF$2),IF($C36="Integrate",(('Demand Base Matrix'!G$28+'Demand Base Matrix'!G$32)*$AC$2*$AD$2*$AE$2+('Demand Base Matrix'!G$29+'Demand Base Matrix'!G$30)*$W$2*$AD$2+'Demand Base Matrix'!G$31*$W$2*$AD$2*$AE$2+'Demand Base Matrix'!G$33+'Demand Base Matrix'!G$34*$AF$2),IF($C36="Bond",(('Demand Base Matrix'!G$55+'Demand Base Matrix'!G$59)*$AC$2*$AD$2*$AE$2+('Demand Base Matrix'!G$56+'Demand Base Matrix'!G$57)*$W$2*$AD$2+'Demand Base Matrix'!G$58*$W$2*$AD$2*$AE$2+'Demand Base Matrix'!G$60+'Demand Base Matrix'!G$61*$AF$2),IF($C36="Explore",('Demand Base Matrix'!G$82*$AC$2*$AD$2*$AE$2*$AF$2+'Demand Base Matrix'!G$83*$W$2*$AC$2*$AD$2*$AE$2*$AF$2+'Demand Base Matrix'!G$84)))))</f>
        <v>60</v>
      </c>
      <c r="AK36">
        <f>IF($C36="Validate",(('Demand Base Matrix'!H$2+'Demand Base Matrix'!H$6)*$AC$2*$AD$2*$AE$2+('Demand Base Matrix'!H$3+'Demand Base Matrix'!H$4)*$W$2*$AD$2+'Demand Base Matrix'!H$5*$W$2*$AD$2*$AE$2+'Demand Base Matrix'!H$7+'Demand Base Matrix'!H$8*$AF$2),IF($C36="Integrate",(('Demand Base Matrix'!H$28+'Demand Base Matrix'!H$32)*$AC$2*$AD$2*$AE$2+('Demand Base Matrix'!H$29+'Demand Base Matrix'!H$30)*$W$2*$AD$2+'Demand Base Matrix'!H$31*$W$2*$AD$2*$AE$2+'Demand Base Matrix'!H$33+'Demand Base Matrix'!H$34*$AF$2),IF($C36="Bond",(('Demand Base Matrix'!H$55+'Demand Base Matrix'!H$59)*$AC$2*$AD$2*$AE$2+('Demand Base Matrix'!H$56+'Demand Base Matrix'!H$57)*$W$2*$AD$2+'Demand Base Matrix'!H$58*$W$2*$AD$2*$AE$2+'Demand Base Matrix'!H$60+'Demand Base Matrix'!H$61*$AF$2),IF($C36="Explore",('Demand Base Matrix'!H$82*$AC$2*$AD$2*$AE$2*$AF$2+'Demand Base Matrix'!H$83*$W$2*$AC$2*$AD$2*$AE$2*$AF$2+'Demand Base Matrix'!H$84)))))</f>
        <v>28</v>
      </c>
      <c r="AL36">
        <f>IF($C36="Validate",(('Demand Base Matrix'!I$2+'Demand Base Matrix'!I$6)*$AC$2*$AD$2*$AE$2+('Demand Base Matrix'!I$3+'Demand Base Matrix'!I$4)*$W$2*$AD$2+'Demand Base Matrix'!I$5*$W$2*$AD$2*$AE$2+'Demand Base Matrix'!I$7+'Demand Base Matrix'!I$8*$AF$2),IF($C36="Integrate",(('Demand Base Matrix'!I$28+'Demand Base Matrix'!I$32)*$AC$2*$AD$2*$AE$2+('Demand Base Matrix'!I$29+'Demand Base Matrix'!I$30)*$W$2*$AD$2+'Demand Base Matrix'!I$31*$W$2*$AD$2*$AE$2+'Demand Base Matrix'!I$33+'Demand Base Matrix'!I$34*$AF$2),IF($C36="Bond",(('Demand Base Matrix'!I$55+'Demand Base Matrix'!I$59)*$AC$2*$AD$2*$AE$2+('Demand Base Matrix'!I$56+'Demand Base Matrix'!I$57)*$W$2*$AD$2+'Demand Base Matrix'!I$58*$W$2*$AD$2*$AE$2+'Demand Base Matrix'!I$60+'Demand Base Matrix'!I$61*$AF$2),IF($C36="Explore",('Demand Base Matrix'!I$82*$AC$2*$AD$2*$AE$2*$AF$2+'Demand Base Matrix'!I$83*$W$2*$AC$2*$AD$2*$AE$2*$AF$2+'Demand Base Matrix'!I$84)))))</f>
        <v>8</v>
      </c>
      <c r="AM36">
        <f>IF($C36="Validate",(('Demand Base Matrix'!J$2+'Demand Base Matrix'!J$6)*$AC$2*$AD$2*$AE$2+('Demand Base Matrix'!J$3+'Demand Base Matrix'!J$4)*$W$2*$AD$2+'Demand Base Matrix'!J$5*$W$2*$AD$2*$AE$2+'Demand Base Matrix'!J$7+'Demand Base Matrix'!J$8*$AF$2),IF($C36="Integrate",(('Demand Base Matrix'!J$28+'Demand Base Matrix'!J$32)*$AC$2*$AD$2*$AE$2+('Demand Base Matrix'!J$29+'Demand Base Matrix'!J$30)*$W$2*$AD$2+'Demand Base Matrix'!J$31*$W$2*$AD$2*$AE$2+'Demand Base Matrix'!J$33+'Demand Base Matrix'!J$34*$AF$2),IF($C36="Bond",(('Demand Base Matrix'!J$55+'Demand Base Matrix'!J$59)*$AC$2*$AD$2*$AE$2+('Demand Base Matrix'!J$56+'Demand Base Matrix'!J$57)*$W$2*$AD$2+'Demand Base Matrix'!J$58*$W$2*$AD$2*$AE$2+'Demand Base Matrix'!J$60+'Demand Base Matrix'!J$61*$AF$2),IF($C36="Explore",('Demand Base Matrix'!J$82*$AC$2*$AD$2*$AE$2*$AF$2+'Demand Base Matrix'!J$83*$W$2*$AC$2*$AD$2*$AE$2*$AF$2+'Demand Base Matrix'!J$84)))))</f>
        <v>8</v>
      </c>
      <c r="AP36" s="5"/>
      <c r="AQ36" s="5"/>
      <c r="AR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</row>
    <row r="37" spans="1:95" x14ac:dyDescent="0.2">
      <c r="A37" t="s">
        <v>749</v>
      </c>
      <c r="B37" t="s">
        <v>67</v>
      </c>
      <c r="C37" t="s">
        <v>20</v>
      </c>
      <c r="D37" t="s">
        <v>177</v>
      </c>
      <c r="E37" t="s">
        <v>25</v>
      </c>
      <c r="F37" t="s">
        <v>198</v>
      </c>
      <c r="I37" t="str">
        <f>IFERROR(INDEX('Customer 360'!F:F,MATCH(B37,'Customer 360'!A:A,0)),"-")</f>
        <v>C</v>
      </c>
      <c r="J37">
        <v>1450</v>
      </c>
      <c r="K37"/>
      <c r="L37" s="4">
        <v>46259</v>
      </c>
      <c r="M37" s="4">
        <v>46259</v>
      </c>
      <c r="N37">
        <v>2026</v>
      </c>
      <c r="O37" s="4">
        <v>46023</v>
      </c>
      <c r="P37" t="s">
        <v>217</v>
      </c>
      <c r="Q37" s="18">
        <f t="shared" si="0"/>
        <v>46023</v>
      </c>
      <c r="R37" s="18">
        <f>IFERROR(IF(M37&lt;&gt;"",M37,IF(L37&lt;&gt;"",L37,INDEX('CSM RDD'!B:B,MATCH(B37,'CSM RDD'!A:A,0)))),"-")</f>
        <v>46259</v>
      </c>
      <c r="S37" s="18">
        <f t="shared" si="7"/>
        <v>46023</v>
      </c>
      <c r="T37" s="18">
        <f t="shared" si="8"/>
        <v>46235</v>
      </c>
      <c r="U37" s="6">
        <f t="shared" si="9"/>
        <v>1450</v>
      </c>
      <c r="V37" s="18">
        <f t="shared" si="18"/>
        <v>46023</v>
      </c>
      <c r="W37">
        <f>IF(U37=0,1,IF(U37&lt;='Demand Base Matrix'!$K$3,'Demand Base Matrix'!$L$3,IF(U37&lt;='Demand Base Matrix'!$K$4,'Demand Base Matrix'!$L$4,IF(U37&lt;='Demand Base Matrix'!$K$5,'Demand Base Matrix'!$L$5,IF(U37&lt;='Demand Base Matrix'!$K$6,'Demand Base Matrix'!$L$6,IF(U37&lt;='Demand Base Matrix'!$K$7,'Demand Base Matrix'!$L$7))))))</f>
        <v>1</v>
      </c>
      <c r="X37" s="4">
        <f t="shared" si="10"/>
        <v>46235</v>
      </c>
      <c r="Y37" t="str">
        <f t="shared" si="11"/>
        <v>Dx</v>
      </c>
      <c r="Z37" t="s">
        <v>685</v>
      </c>
      <c r="AA37" t="s">
        <v>685</v>
      </c>
      <c r="AB37" t="s">
        <v>685</v>
      </c>
      <c r="AC37">
        <f>IFERROR(INDEX('Demand Base Matrix'!AM:AM,MATCH(Y37,'Demand Base Matrix'!AL:AL,0)),"-")</f>
        <v>1</v>
      </c>
      <c r="AD37">
        <f>IFERROR(INDEX('Demand Base Matrix'!AO:AO,MATCH(Z37,'Demand Base Matrix'!AN:AN,0)),1)</f>
        <v>1</v>
      </c>
      <c r="AE37">
        <f>IFERROR(INDEX('Demand Base Matrix'!AQ:AQ,MATCH(AA37,'Demand Base Matrix'!AP:AP,0)),1)</f>
        <v>1</v>
      </c>
      <c r="AF37">
        <f>IFERROR(INDEX('Demand Base Matrix'!AS:AS,MATCH(AB37,'Demand Base Matrix'!AR:AR,0)),1)</f>
        <v>1</v>
      </c>
      <c r="AG37">
        <f>IF($C37="Validate",(('Demand Base Matrix'!D$2+'Demand Base Matrix'!D$6)*$AC$2*$AD$2*$AE$2+('Demand Base Matrix'!D$3+'Demand Base Matrix'!D$4)*$W$2*$AD$2+'Demand Base Matrix'!D$5*$W$2*$AD$2*$AE$2+'Demand Base Matrix'!D$7+'Demand Base Matrix'!D$8*$AF$2),IF($C37="Integrate",(('Demand Base Matrix'!D$28+'Demand Base Matrix'!D$32)*$AC$2*$AD$2*$AE$2+('Demand Base Matrix'!D$29+'Demand Base Matrix'!D$30)*$W$2*$AD$2+'Demand Base Matrix'!D$31*$W$2*$AD$2*$AE$2+'Demand Base Matrix'!D$33+'Demand Base Matrix'!D$34*$AF$2),IF($C37="Bond",(('Demand Base Matrix'!D$55+'Demand Base Matrix'!D$59)*$AC$2*$AD$2*$AE$2+('Demand Base Matrix'!D$56+'Demand Base Matrix'!D$57)*$W$2*$AD$2+'Demand Base Matrix'!D$58*$W$2*$AD$2*$AE$2+'Demand Base Matrix'!D$60+'Demand Base Matrix'!D$61*$AF$2),IF($C37="Explore",('Demand Base Matrix'!D$82*$AC$2*$AD$2*$AE$2*$AF$2+'Demand Base Matrix'!D$83*$W$2*$AC$2*$AD$2*$AE$2*$AF$2+'Demand Base Matrix'!D$84)))))</f>
        <v>15</v>
      </c>
      <c r="AH37">
        <f>IF($C37="Validate",(('Demand Base Matrix'!E$2+'Demand Base Matrix'!E$6)*$AC$2*$AD$2*$AE$2+('Demand Base Matrix'!E$3+'Demand Base Matrix'!E$4)*$W$2*$AD$2+'Demand Base Matrix'!E$5*$W$2*$AD$2*$AE$2+'Demand Base Matrix'!E$7+'Demand Base Matrix'!E$8*$AF$2),IF($C37="Integrate",(('Demand Base Matrix'!E$28+'Demand Base Matrix'!E$32)*$AC$2*$AD$2*$AE$2+('Demand Base Matrix'!E$29+'Demand Base Matrix'!E$30)*$W$2*$AD$2+'Demand Base Matrix'!E$31*$W$2*$AD$2*$AE$2+'Demand Base Matrix'!E$33+'Demand Base Matrix'!E$34*$AF$2),IF($C37="Bond",(('Demand Base Matrix'!E$55+'Demand Base Matrix'!E$59)*$AC$2*$AD$2*$AE$2+('Demand Base Matrix'!E$56+'Demand Base Matrix'!E$57)*$W$2*$AD$2+'Demand Base Matrix'!E$58*$W$2*$AD$2*$AE$2+'Demand Base Matrix'!E$60+'Demand Base Matrix'!E$61*$AF$2),IF($C37="Explore",('Demand Base Matrix'!E$82*$AC$2*$AD$2*$AE$2*$AF$2+'Demand Base Matrix'!E$83*$W$2*$AC$2*$AD$2*$AE$2*$AF$2+'Demand Base Matrix'!E$84)))))</f>
        <v>15</v>
      </c>
      <c r="AI37">
        <f>IF($C37="Validate",(('Demand Base Matrix'!F$2+'Demand Base Matrix'!F$6)*$AC$2*$AD$2*$AE$2+('Demand Base Matrix'!F$3+'Demand Base Matrix'!F$4)*$W$2*$AD$2+'Demand Base Matrix'!F$5*$W$2*$AD$2*$AE$2+'Demand Base Matrix'!F$7+'Demand Base Matrix'!F$8*$AF$2),IF($C37="Integrate",(('Demand Base Matrix'!F$28+'Demand Base Matrix'!F$32)*$AC$2*$AD$2*$AE$2+('Demand Base Matrix'!F$29+'Demand Base Matrix'!F$30)*$W$2*$AD$2+'Demand Base Matrix'!F$31*$W$2*$AD$2*$AE$2+'Demand Base Matrix'!F$33+'Demand Base Matrix'!F$34*$AF$2),IF($C37="Bond",(('Demand Base Matrix'!F$55+'Demand Base Matrix'!F$59)*$AC$2*$AD$2*$AE$2+('Demand Base Matrix'!F$56+'Demand Base Matrix'!F$57)*$W$2*$AD$2+'Demand Base Matrix'!F$58*$W$2*$AD$2*$AE$2+'Demand Base Matrix'!F$60+'Demand Base Matrix'!F$61*$AF$2),IF($C37="Explore",('Demand Base Matrix'!F$82*$AC$2*$AD$2*$AE$2*$AF$2+'Demand Base Matrix'!F$83*$W$2*$AC$2*$AD$2*$AE$2*$AF$2+'Demand Base Matrix'!F$84)))))</f>
        <v>7</v>
      </c>
      <c r="AJ37">
        <f>IF($C37="Validate",(('Demand Base Matrix'!G$2+'Demand Base Matrix'!G$6)*$AC$2*$AD$2*$AE$2+('Demand Base Matrix'!G$3+'Demand Base Matrix'!G$4)*$W$2*$AD$2+'Demand Base Matrix'!G$5*$W$2*$AD$2*$AE$2+'Demand Base Matrix'!G$7+'Demand Base Matrix'!G$8*$AF$2),IF($C37="Integrate",(('Demand Base Matrix'!G$28+'Demand Base Matrix'!G$32)*$AC$2*$AD$2*$AE$2+('Demand Base Matrix'!G$29+'Demand Base Matrix'!G$30)*$W$2*$AD$2+'Demand Base Matrix'!G$31*$W$2*$AD$2*$AE$2+'Demand Base Matrix'!G$33+'Demand Base Matrix'!G$34*$AF$2),IF($C37="Bond",(('Demand Base Matrix'!G$55+'Demand Base Matrix'!G$59)*$AC$2*$AD$2*$AE$2+('Demand Base Matrix'!G$56+'Demand Base Matrix'!G$57)*$W$2*$AD$2+'Demand Base Matrix'!G$58*$W$2*$AD$2*$AE$2+'Demand Base Matrix'!G$60+'Demand Base Matrix'!G$61*$AF$2),IF($C37="Explore",('Demand Base Matrix'!G$82*$AC$2*$AD$2*$AE$2*$AF$2+'Demand Base Matrix'!G$83*$W$2*$AC$2*$AD$2*$AE$2*$AF$2+'Demand Base Matrix'!G$84)))))</f>
        <v>40</v>
      </c>
      <c r="AK37">
        <f>IF($C37="Validate",(('Demand Base Matrix'!H$2+'Demand Base Matrix'!H$6)*$AC$2*$AD$2*$AE$2+('Demand Base Matrix'!H$3+'Demand Base Matrix'!H$4)*$W$2*$AD$2+'Demand Base Matrix'!H$5*$W$2*$AD$2*$AE$2+'Demand Base Matrix'!H$7+'Demand Base Matrix'!H$8*$AF$2),IF($C37="Integrate",(('Demand Base Matrix'!H$28+'Demand Base Matrix'!H$32)*$AC$2*$AD$2*$AE$2+('Demand Base Matrix'!H$29+'Demand Base Matrix'!H$30)*$W$2*$AD$2+'Demand Base Matrix'!H$31*$W$2*$AD$2*$AE$2+'Demand Base Matrix'!H$33+'Demand Base Matrix'!H$34*$AF$2),IF($C37="Bond",(('Demand Base Matrix'!H$55+'Demand Base Matrix'!H$59)*$AC$2*$AD$2*$AE$2+('Demand Base Matrix'!H$56+'Demand Base Matrix'!H$57)*$W$2*$AD$2+'Demand Base Matrix'!H$58*$W$2*$AD$2*$AE$2+'Demand Base Matrix'!H$60+'Demand Base Matrix'!H$61*$AF$2),IF($C37="Explore",('Demand Base Matrix'!H$82*$AC$2*$AD$2*$AE$2*$AF$2+'Demand Base Matrix'!H$83*$W$2*$AC$2*$AD$2*$AE$2*$AF$2+'Demand Base Matrix'!H$84)))))</f>
        <v>60</v>
      </c>
      <c r="AL37">
        <f>IF($C37="Validate",(('Demand Base Matrix'!I$2+'Demand Base Matrix'!I$6)*$AC$2*$AD$2*$AE$2+('Demand Base Matrix'!I$3+'Demand Base Matrix'!I$4)*$W$2*$AD$2+'Demand Base Matrix'!I$5*$W$2*$AD$2*$AE$2+'Demand Base Matrix'!I$7+'Demand Base Matrix'!I$8*$AF$2),IF($C37="Integrate",(('Demand Base Matrix'!I$28+'Demand Base Matrix'!I$32)*$AC$2*$AD$2*$AE$2+('Demand Base Matrix'!I$29+'Demand Base Matrix'!I$30)*$W$2*$AD$2+'Demand Base Matrix'!I$31*$W$2*$AD$2*$AE$2+'Demand Base Matrix'!I$33+'Demand Base Matrix'!I$34*$AF$2),IF($C37="Bond",(('Demand Base Matrix'!I$55+'Demand Base Matrix'!I$59)*$AC$2*$AD$2*$AE$2+('Demand Base Matrix'!I$56+'Demand Base Matrix'!I$57)*$W$2*$AD$2+'Demand Base Matrix'!I$58*$W$2*$AD$2*$AE$2+'Demand Base Matrix'!I$60+'Demand Base Matrix'!I$61*$AF$2),IF($C37="Explore",('Demand Base Matrix'!I$82*$AC$2*$AD$2*$AE$2*$AF$2+'Demand Base Matrix'!I$83*$W$2*$AC$2*$AD$2*$AE$2*$AF$2+'Demand Base Matrix'!I$84)))))</f>
        <v>10</v>
      </c>
      <c r="AM37">
        <f>IF($C37="Validate",(('Demand Base Matrix'!J$2+'Demand Base Matrix'!J$6)*$AC$2*$AD$2*$AE$2+('Demand Base Matrix'!J$3+'Demand Base Matrix'!J$4)*$W$2*$AD$2+'Demand Base Matrix'!J$5*$W$2*$AD$2*$AE$2+'Demand Base Matrix'!J$7+'Demand Base Matrix'!J$8*$AF$2),IF($C37="Integrate",(('Demand Base Matrix'!J$28+'Demand Base Matrix'!J$32)*$AC$2*$AD$2*$AE$2+('Demand Base Matrix'!J$29+'Demand Base Matrix'!J$30)*$W$2*$AD$2+'Demand Base Matrix'!J$31*$W$2*$AD$2*$AE$2+'Demand Base Matrix'!J$33+'Demand Base Matrix'!J$34*$AF$2),IF($C37="Bond",(('Demand Base Matrix'!J$55+'Demand Base Matrix'!J$59)*$AC$2*$AD$2*$AE$2+('Demand Base Matrix'!J$56+'Demand Base Matrix'!J$57)*$W$2*$AD$2+'Demand Base Matrix'!J$58*$W$2*$AD$2*$AE$2+'Demand Base Matrix'!J$60+'Demand Base Matrix'!J$61*$AF$2),IF($C37="Explore",('Demand Base Matrix'!J$82*$AC$2*$AD$2*$AE$2*$AF$2+'Demand Base Matrix'!J$83*$W$2*$AC$2*$AD$2*$AE$2*$AF$2+'Demand Base Matrix'!J$84)))))</f>
        <v>4</v>
      </c>
      <c r="AP37" s="5"/>
      <c r="AQ37" s="5"/>
      <c r="AR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</row>
    <row r="38" spans="1:95" x14ac:dyDescent="0.2">
      <c r="A38" t="s">
        <v>750</v>
      </c>
      <c r="B38" t="s">
        <v>68</v>
      </c>
      <c r="C38" t="s">
        <v>23</v>
      </c>
      <c r="D38" t="s">
        <v>69</v>
      </c>
      <c r="E38" t="s">
        <v>119</v>
      </c>
      <c r="F38" t="s">
        <v>185</v>
      </c>
      <c r="I38" t="str">
        <f>IFERROR(INDEX('Customer 360'!F:F,MATCH(B38,'Customer 360'!A:A,0)),"-")</f>
        <v>B</v>
      </c>
      <c r="J38">
        <v>2200</v>
      </c>
      <c r="K38"/>
      <c r="L38" s="4">
        <v>46316</v>
      </c>
      <c r="M38" s="4">
        <v>46316</v>
      </c>
      <c r="N38">
        <v>2026</v>
      </c>
      <c r="O38" s="4">
        <v>46023</v>
      </c>
      <c r="P38" t="s">
        <v>217</v>
      </c>
      <c r="Q38" s="18">
        <f t="shared" si="0"/>
        <v>46023</v>
      </c>
      <c r="R38" s="18">
        <f>IFERROR(IF(M38&lt;&gt;"",M38,IF(L38&lt;&gt;"",L38,INDEX('CSM RDD'!B:B,MATCH(B38,'CSM RDD'!A:A,0)))),"-")</f>
        <v>46316</v>
      </c>
      <c r="S38" s="18">
        <f t="shared" si="7"/>
        <v>46023</v>
      </c>
      <c r="T38" s="18">
        <f t="shared" si="8"/>
        <v>46296</v>
      </c>
      <c r="U38" s="6">
        <f t="shared" si="9"/>
        <v>2200</v>
      </c>
      <c r="V38" s="18">
        <f t="shared" si="18"/>
        <v>46082</v>
      </c>
      <c r="W38">
        <f>IF(U38=0,1,IF(U38&lt;='Demand Base Matrix'!$K$3,'Demand Base Matrix'!$L$3,IF(U38&lt;='Demand Base Matrix'!$K$4,'Demand Base Matrix'!$L$4,IF(U38&lt;='Demand Base Matrix'!$K$5,'Demand Base Matrix'!$L$5,IF(U38&lt;='Demand Base Matrix'!$K$6,'Demand Base Matrix'!$L$6,IF(U38&lt;='Demand Base Matrix'!$K$7,'Demand Base Matrix'!$L$7))))))</f>
        <v>1</v>
      </c>
      <c r="X38" s="4">
        <f t="shared" si="10"/>
        <v>46296</v>
      </c>
      <c r="Y38" t="str">
        <f t="shared" si="11"/>
        <v>Dx</v>
      </c>
      <c r="Z38" t="s">
        <v>685</v>
      </c>
      <c r="AA38" t="s">
        <v>685</v>
      </c>
      <c r="AB38" t="s">
        <v>685</v>
      </c>
      <c r="AC38">
        <f>IFERROR(INDEX('Demand Base Matrix'!AM:AM,MATCH(Y38,'Demand Base Matrix'!AL:AL,0)),"-")</f>
        <v>1</v>
      </c>
      <c r="AD38">
        <f>IFERROR(INDEX('Demand Base Matrix'!AO:AO,MATCH(Z38,'Demand Base Matrix'!AN:AN,0)),1)</f>
        <v>1</v>
      </c>
      <c r="AE38">
        <f>IFERROR(INDEX('Demand Base Matrix'!AQ:AQ,MATCH(AA38,'Demand Base Matrix'!AP:AP,0)),1)</f>
        <v>1</v>
      </c>
      <c r="AF38">
        <f>IFERROR(INDEX('Demand Base Matrix'!AS:AS,MATCH(AB38,'Demand Base Matrix'!AR:AR,0)),1)</f>
        <v>1</v>
      </c>
      <c r="AG38">
        <f>IF($C38="Validate",(('Demand Base Matrix'!D$2+'Demand Base Matrix'!D$6)*$AC$2*$AD$2*$AE$2+('Demand Base Matrix'!D$3+'Demand Base Matrix'!D$4)*$W$2*$AD$2+'Demand Base Matrix'!D$5*$W$2*$AD$2*$AE$2+'Demand Base Matrix'!D$7+'Demand Base Matrix'!D$8*$AF$2),IF($C38="Integrate",(('Demand Base Matrix'!D$28+'Demand Base Matrix'!D$32)*$AC$2*$AD$2*$AE$2+('Demand Base Matrix'!D$29+'Demand Base Matrix'!D$30)*$W$2*$AD$2+'Demand Base Matrix'!D$31*$W$2*$AD$2*$AE$2+'Demand Base Matrix'!D$33+'Demand Base Matrix'!D$34*$AF$2),IF($C38="Bond",(('Demand Base Matrix'!D$55+'Demand Base Matrix'!D$59)*$AC$2*$AD$2*$AE$2+('Demand Base Matrix'!D$56+'Demand Base Matrix'!D$57)*$W$2*$AD$2+'Demand Base Matrix'!D$58*$W$2*$AD$2*$AE$2+'Demand Base Matrix'!D$60+'Demand Base Matrix'!D$61*$AF$2),IF($C38="Explore",('Demand Base Matrix'!D$82*$AC$2*$AD$2*$AE$2*$AF$2+'Demand Base Matrix'!D$83*$W$2*$AC$2*$AD$2*$AE$2*$AF$2+'Demand Base Matrix'!D$84)))))</f>
        <v>10</v>
      </c>
      <c r="AH38">
        <f>IF($C38="Validate",(('Demand Base Matrix'!E$2+'Demand Base Matrix'!E$6)*$AC$2*$AD$2*$AE$2+('Demand Base Matrix'!E$3+'Demand Base Matrix'!E$4)*$W$2*$AD$2+'Demand Base Matrix'!E$5*$W$2*$AD$2*$AE$2+'Demand Base Matrix'!E$7+'Demand Base Matrix'!E$8*$AF$2),IF($C38="Integrate",(('Demand Base Matrix'!E$28+'Demand Base Matrix'!E$32)*$AC$2*$AD$2*$AE$2+('Demand Base Matrix'!E$29+'Demand Base Matrix'!E$30)*$W$2*$AD$2+'Demand Base Matrix'!E$31*$W$2*$AD$2*$AE$2+'Demand Base Matrix'!E$33+'Demand Base Matrix'!E$34*$AF$2),IF($C38="Bond",(('Demand Base Matrix'!E$55+'Demand Base Matrix'!E$59)*$AC$2*$AD$2*$AE$2+('Demand Base Matrix'!E$56+'Demand Base Matrix'!E$57)*$W$2*$AD$2+'Demand Base Matrix'!E$58*$W$2*$AD$2*$AE$2+'Demand Base Matrix'!E$60+'Demand Base Matrix'!E$61*$AF$2),IF($C38="Explore",('Demand Base Matrix'!E$82*$AC$2*$AD$2*$AE$2*$AF$2+'Demand Base Matrix'!E$83*$W$2*$AC$2*$AD$2*$AE$2*$AF$2+'Demand Base Matrix'!E$84)))))</f>
        <v>10</v>
      </c>
      <c r="AI38">
        <f>IF($C38="Validate",(('Demand Base Matrix'!F$2+'Demand Base Matrix'!F$6)*$AC$2*$AD$2*$AE$2+('Demand Base Matrix'!F$3+'Demand Base Matrix'!F$4)*$W$2*$AD$2+'Demand Base Matrix'!F$5*$W$2*$AD$2*$AE$2+'Demand Base Matrix'!F$7+'Demand Base Matrix'!F$8*$AF$2),IF($C38="Integrate",(('Demand Base Matrix'!F$28+'Demand Base Matrix'!F$32)*$AC$2*$AD$2*$AE$2+('Demand Base Matrix'!F$29+'Demand Base Matrix'!F$30)*$W$2*$AD$2+'Demand Base Matrix'!F$31*$W$2*$AD$2*$AE$2+'Demand Base Matrix'!F$33+'Demand Base Matrix'!F$34*$AF$2),IF($C38="Bond",(('Demand Base Matrix'!F$55+'Demand Base Matrix'!F$59)*$AC$2*$AD$2*$AE$2+('Demand Base Matrix'!F$56+'Demand Base Matrix'!F$57)*$W$2*$AD$2+'Demand Base Matrix'!F$58*$W$2*$AD$2*$AE$2+'Demand Base Matrix'!F$60+'Demand Base Matrix'!F$61*$AF$2),IF($C38="Explore",('Demand Base Matrix'!F$82*$AC$2*$AD$2*$AE$2*$AF$2+'Demand Base Matrix'!F$83*$W$2*$AC$2*$AD$2*$AE$2*$AF$2+'Demand Base Matrix'!F$84)))))</f>
        <v>10</v>
      </c>
      <c r="AJ38">
        <f>IF($C38="Validate",(('Demand Base Matrix'!G$2+'Demand Base Matrix'!G$6)*$AC$2*$AD$2*$AE$2+('Demand Base Matrix'!G$3+'Demand Base Matrix'!G$4)*$W$2*$AD$2+'Demand Base Matrix'!G$5*$W$2*$AD$2*$AE$2+'Demand Base Matrix'!G$7+'Demand Base Matrix'!G$8*$AF$2),IF($C38="Integrate",(('Demand Base Matrix'!G$28+'Demand Base Matrix'!G$32)*$AC$2*$AD$2*$AE$2+('Demand Base Matrix'!G$29+'Demand Base Matrix'!G$30)*$W$2*$AD$2+'Demand Base Matrix'!G$31*$W$2*$AD$2*$AE$2+'Demand Base Matrix'!G$33+'Demand Base Matrix'!G$34*$AF$2),IF($C38="Bond",(('Demand Base Matrix'!G$55+'Demand Base Matrix'!G$59)*$AC$2*$AD$2*$AE$2+('Demand Base Matrix'!G$56+'Demand Base Matrix'!G$57)*$W$2*$AD$2+'Demand Base Matrix'!G$58*$W$2*$AD$2*$AE$2+'Demand Base Matrix'!G$60+'Demand Base Matrix'!G$61*$AF$2),IF($C38="Explore",('Demand Base Matrix'!G$82*$AC$2*$AD$2*$AE$2*$AF$2+'Demand Base Matrix'!G$83*$W$2*$AC$2*$AD$2*$AE$2*$AF$2+'Demand Base Matrix'!G$84)))))</f>
        <v>50</v>
      </c>
      <c r="AK38">
        <f>IF($C38="Validate",(('Demand Base Matrix'!H$2+'Demand Base Matrix'!H$6)*$AC$2*$AD$2*$AE$2+('Demand Base Matrix'!H$3+'Demand Base Matrix'!H$4)*$W$2*$AD$2+'Demand Base Matrix'!H$5*$W$2*$AD$2*$AE$2+'Demand Base Matrix'!H$7+'Demand Base Matrix'!H$8*$AF$2),IF($C38="Integrate",(('Demand Base Matrix'!H$28+'Demand Base Matrix'!H$32)*$AC$2*$AD$2*$AE$2+('Demand Base Matrix'!H$29+'Demand Base Matrix'!H$30)*$W$2*$AD$2+'Demand Base Matrix'!H$31*$W$2*$AD$2*$AE$2+'Demand Base Matrix'!H$33+'Demand Base Matrix'!H$34*$AF$2),IF($C38="Bond",(('Demand Base Matrix'!H$55+'Demand Base Matrix'!H$59)*$AC$2*$AD$2*$AE$2+('Demand Base Matrix'!H$56+'Demand Base Matrix'!H$57)*$W$2*$AD$2+'Demand Base Matrix'!H$58*$W$2*$AD$2*$AE$2+'Demand Base Matrix'!H$60+'Demand Base Matrix'!H$61*$AF$2),IF($C38="Explore",('Demand Base Matrix'!H$82*$AC$2*$AD$2*$AE$2*$AF$2+'Demand Base Matrix'!H$83*$W$2*$AC$2*$AD$2*$AE$2*$AF$2+'Demand Base Matrix'!H$84)))))</f>
        <v>28</v>
      </c>
      <c r="AL38">
        <f>IF($C38="Validate",(('Demand Base Matrix'!I$2+'Demand Base Matrix'!I$6)*$AC$2*$AD$2*$AE$2+('Demand Base Matrix'!I$3+'Demand Base Matrix'!I$4)*$W$2*$AD$2+'Demand Base Matrix'!I$5*$W$2*$AD$2*$AE$2+'Demand Base Matrix'!I$7+'Demand Base Matrix'!I$8*$AF$2),IF($C38="Integrate",(('Demand Base Matrix'!I$28+'Demand Base Matrix'!I$32)*$AC$2*$AD$2*$AE$2+('Demand Base Matrix'!I$29+'Demand Base Matrix'!I$30)*$W$2*$AD$2+'Demand Base Matrix'!I$31*$W$2*$AD$2*$AE$2+'Demand Base Matrix'!I$33+'Demand Base Matrix'!I$34*$AF$2),IF($C38="Bond",(('Demand Base Matrix'!I$55+'Demand Base Matrix'!I$59)*$AC$2*$AD$2*$AE$2+('Demand Base Matrix'!I$56+'Demand Base Matrix'!I$57)*$W$2*$AD$2+'Demand Base Matrix'!I$58*$W$2*$AD$2*$AE$2+'Demand Base Matrix'!I$60+'Demand Base Matrix'!I$61*$AF$2),IF($C38="Explore",('Demand Base Matrix'!I$82*$AC$2*$AD$2*$AE$2*$AF$2+'Demand Base Matrix'!I$83*$W$2*$AC$2*$AD$2*$AE$2*$AF$2+'Demand Base Matrix'!I$84)))))</f>
        <v>8</v>
      </c>
      <c r="AM38">
        <f>IF($C38="Validate",(('Demand Base Matrix'!J$2+'Demand Base Matrix'!J$6)*$AC$2*$AD$2*$AE$2+('Demand Base Matrix'!J$3+'Demand Base Matrix'!J$4)*$W$2*$AD$2+'Demand Base Matrix'!J$5*$W$2*$AD$2*$AE$2+'Demand Base Matrix'!J$7+'Demand Base Matrix'!J$8*$AF$2),IF($C38="Integrate",(('Demand Base Matrix'!J$28+'Demand Base Matrix'!J$32)*$AC$2*$AD$2*$AE$2+('Demand Base Matrix'!J$29+'Demand Base Matrix'!J$30)*$W$2*$AD$2+'Demand Base Matrix'!J$31*$W$2*$AD$2*$AE$2+'Demand Base Matrix'!J$33+'Demand Base Matrix'!J$34*$AF$2),IF($C38="Bond",(('Demand Base Matrix'!J$55+'Demand Base Matrix'!J$59)*$AC$2*$AD$2*$AE$2+('Demand Base Matrix'!J$56+'Demand Base Matrix'!J$57)*$W$2*$AD$2+'Demand Base Matrix'!J$58*$W$2*$AD$2*$AE$2+'Demand Base Matrix'!J$60+'Demand Base Matrix'!J$61*$AF$2),IF($C38="Explore",('Demand Base Matrix'!J$82*$AC$2*$AD$2*$AE$2*$AF$2+'Demand Base Matrix'!J$83*$W$2*$AC$2*$AD$2*$AE$2*$AF$2+'Demand Base Matrix'!J$84)))))</f>
        <v>8</v>
      </c>
      <c r="AP38" s="5"/>
      <c r="AQ38" s="5"/>
      <c r="AR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</row>
    <row r="39" spans="1:95" x14ac:dyDescent="0.2">
      <c r="A39" t="s">
        <v>751</v>
      </c>
      <c r="B39" t="s">
        <v>70</v>
      </c>
      <c r="C39" t="s">
        <v>23</v>
      </c>
      <c r="D39" t="s">
        <v>53</v>
      </c>
      <c r="E39" t="s">
        <v>699</v>
      </c>
      <c r="F39" t="s">
        <v>93</v>
      </c>
      <c r="I39" t="str">
        <f>IFERROR(INDEX('Customer 360'!F:F,MATCH(B39,'Customer 360'!A:A,0)),"-")</f>
        <v>C</v>
      </c>
      <c r="J39">
        <v>520</v>
      </c>
      <c r="K39"/>
      <c r="L39" s="4">
        <v>46233</v>
      </c>
      <c r="M39" s="4">
        <v>46233</v>
      </c>
      <c r="N39">
        <v>2026</v>
      </c>
      <c r="O39" s="4">
        <v>46023</v>
      </c>
      <c r="P39" t="s">
        <v>217</v>
      </c>
      <c r="Q39" s="18">
        <f t="shared" si="0"/>
        <v>46023</v>
      </c>
      <c r="R39" s="18">
        <f>IFERROR(IF(M39&lt;&gt;"",M39,IF(L39&lt;&gt;"",L39,INDEX('CSM RDD'!B:B,MATCH(B39,'CSM RDD'!A:A,0)))),"-")</f>
        <v>46233</v>
      </c>
      <c r="S39" s="18">
        <f t="shared" si="7"/>
        <v>46023</v>
      </c>
      <c r="T39" s="18">
        <f t="shared" si="8"/>
        <v>46204</v>
      </c>
      <c r="U39" s="6">
        <f t="shared" si="9"/>
        <v>520</v>
      </c>
      <c r="V39" s="18">
        <f t="shared" si="18"/>
        <v>46082</v>
      </c>
      <c r="W39">
        <f>IF(U39=0,1,IF(U39&lt;='Demand Base Matrix'!$K$3,'Demand Base Matrix'!$L$3,IF(U39&lt;='Demand Base Matrix'!$K$4,'Demand Base Matrix'!$L$4,IF(U39&lt;='Demand Base Matrix'!$K$5,'Demand Base Matrix'!$L$5,IF(U39&lt;='Demand Base Matrix'!$K$6,'Demand Base Matrix'!$L$6,IF(U39&lt;='Demand Base Matrix'!$K$7,'Demand Base Matrix'!$L$7))))))</f>
        <v>0.75</v>
      </c>
      <c r="X39" s="4">
        <f t="shared" si="10"/>
        <v>46204</v>
      </c>
      <c r="Y39" t="str">
        <f t="shared" si="11"/>
        <v>Dx</v>
      </c>
      <c r="Z39" t="s">
        <v>685</v>
      </c>
      <c r="AA39" t="s">
        <v>684</v>
      </c>
      <c r="AB39" t="s">
        <v>685</v>
      </c>
      <c r="AC39">
        <f>IFERROR(INDEX('Demand Base Matrix'!AM:AM,MATCH(Y39,'Demand Base Matrix'!AL:AL,0)),"-")</f>
        <v>1</v>
      </c>
      <c r="AD39">
        <f>IFERROR(INDEX('Demand Base Matrix'!AO:AO,MATCH(Z39,'Demand Base Matrix'!AN:AN,0)),1)</f>
        <v>1</v>
      </c>
      <c r="AE39">
        <f>IFERROR(INDEX('Demand Base Matrix'!AQ:AQ,MATCH(AA39,'Demand Base Matrix'!AP:AP,0)),1)</f>
        <v>1.5</v>
      </c>
      <c r="AF39">
        <f>IFERROR(INDEX('Demand Base Matrix'!AS:AS,MATCH(AB39,'Demand Base Matrix'!AR:AR,0)),1)</f>
        <v>1</v>
      </c>
      <c r="AG39">
        <f>IF($C39="Validate",(('Demand Base Matrix'!D$2+'Demand Base Matrix'!D$6)*$AC$2*$AD$2*$AE$2+('Demand Base Matrix'!D$3+'Demand Base Matrix'!D$4)*$W$2*$AD$2+'Demand Base Matrix'!D$5*$W$2*$AD$2*$AE$2+'Demand Base Matrix'!D$7+'Demand Base Matrix'!D$8*$AF$2),IF($C39="Integrate",(('Demand Base Matrix'!D$28+'Demand Base Matrix'!D$32)*$AC$2*$AD$2*$AE$2+('Demand Base Matrix'!D$29+'Demand Base Matrix'!D$30)*$W$2*$AD$2+'Demand Base Matrix'!D$31*$W$2*$AD$2*$AE$2+'Demand Base Matrix'!D$33+'Demand Base Matrix'!D$34*$AF$2),IF($C39="Bond",(('Demand Base Matrix'!D$55+'Demand Base Matrix'!D$59)*$AC$2*$AD$2*$AE$2+('Demand Base Matrix'!D$56+'Demand Base Matrix'!D$57)*$W$2*$AD$2+'Demand Base Matrix'!D$58*$W$2*$AD$2*$AE$2+'Demand Base Matrix'!D$60+'Demand Base Matrix'!D$61*$AF$2),IF($C39="Explore",('Demand Base Matrix'!D$82*$AC$2*$AD$2*$AE$2*$AF$2+'Demand Base Matrix'!D$83*$W$2*$AC$2*$AD$2*$AE$2*$AF$2+'Demand Base Matrix'!D$84)))))</f>
        <v>10</v>
      </c>
      <c r="AH39">
        <f>IF($C39="Validate",(('Demand Base Matrix'!E$2+'Demand Base Matrix'!E$6)*$AC$2*$AD$2*$AE$2+('Demand Base Matrix'!E$3+'Demand Base Matrix'!E$4)*$W$2*$AD$2+'Demand Base Matrix'!E$5*$W$2*$AD$2*$AE$2+'Demand Base Matrix'!E$7+'Demand Base Matrix'!E$8*$AF$2),IF($C39="Integrate",(('Demand Base Matrix'!E$28+'Demand Base Matrix'!E$32)*$AC$2*$AD$2*$AE$2+('Demand Base Matrix'!E$29+'Demand Base Matrix'!E$30)*$W$2*$AD$2+'Demand Base Matrix'!E$31*$W$2*$AD$2*$AE$2+'Demand Base Matrix'!E$33+'Demand Base Matrix'!E$34*$AF$2),IF($C39="Bond",(('Demand Base Matrix'!E$55+'Demand Base Matrix'!E$59)*$AC$2*$AD$2*$AE$2+('Demand Base Matrix'!E$56+'Demand Base Matrix'!E$57)*$W$2*$AD$2+'Demand Base Matrix'!E$58*$W$2*$AD$2*$AE$2+'Demand Base Matrix'!E$60+'Demand Base Matrix'!E$61*$AF$2),IF($C39="Explore",('Demand Base Matrix'!E$82*$AC$2*$AD$2*$AE$2*$AF$2+'Demand Base Matrix'!E$83*$W$2*$AC$2*$AD$2*$AE$2*$AF$2+'Demand Base Matrix'!E$84)))))</f>
        <v>10</v>
      </c>
      <c r="AI39">
        <f>IF($C39="Validate",(('Demand Base Matrix'!F$2+'Demand Base Matrix'!F$6)*$AC$2*$AD$2*$AE$2+('Demand Base Matrix'!F$3+'Demand Base Matrix'!F$4)*$W$2*$AD$2+'Demand Base Matrix'!F$5*$W$2*$AD$2*$AE$2+'Demand Base Matrix'!F$7+'Demand Base Matrix'!F$8*$AF$2),IF($C39="Integrate",(('Demand Base Matrix'!F$28+'Demand Base Matrix'!F$32)*$AC$2*$AD$2*$AE$2+('Demand Base Matrix'!F$29+'Demand Base Matrix'!F$30)*$W$2*$AD$2+'Demand Base Matrix'!F$31*$W$2*$AD$2*$AE$2+'Demand Base Matrix'!F$33+'Demand Base Matrix'!F$34*$AF$2),IF($C39="Bond",(('Demand Base Matrix'!F$55+'Demand Base Matrix'!F$59)*$AC$2*$AD$2*$AE$2+('Demand Base Matrix'!F$56+'Demand Base Matrix'!F$57)*$W$2*$AD$2+'Demand Base Matrix'!F$58*$W$2*$AD$2*$AE$2+'Demand Base Matrix'!F$60+'Demand Base Matrix'!F$61*$AF$2),IF($C39="Explore",('Demand Base Matrix'!F$82*$AC$2*$AD$2*$AE$2*$AF$2+'Demand Base Matrix'!F$83*$W$2*$AC$2*$AD$2*$AE$2*$AF$2+'Demand Base Matrix'!F$84)))))</f>
        <v>10</v>
      </c>
      <c r="AJ39">
        <f>IF($C39="Validate",(('Demand Base Matrix'!G$2+'Demand Base Matrix'!G$6)*$AC$2*$AD$2*$AE$2+('Demand Base Matrix'!G$3+'Demand Base Matrix'!G$4)*$W$2*$AD$2+'Demand Base Matrix'!G$5*$W$2*$AD$2*$AE$2+'Demand Base Matrix'!G$7+'Demand Base Matrix'!G$8*$AF$2),IF($C39="Integrate",(('Demand Base Matrix'!G$28+'Demand Base Matrix'!G$32)*$AC$2*$AD$2*$AE$2+('Demand Base Matrix'!G$29+'Demand Base Matrix'!G$30)*$W$2*$AD$2+'Demand Base Matrix'!G$31*$W$2*$AD$2*$AE$2+'Demand Base Matrix'!G$33+'Demand Base Matrix'!G$34*$AF$2),IF($C39="Bond",(('Demand Base Matrix'!G$55+'Demand Base Matrix'!G$59)*$AC$2*$AD$2*$AE$2+('Demand Base Matrix'!G$56+'Demand Base Matrix'!G$57)*$W$2*$AD$2+'Demand Base Matrix'!G$58*$W$2*$AD$2*$AE$2+'Demand Base Matrix'!G$60+'Demand Base Matrix'!G$61*$AF$2),IF($C39="Explore",('Demand Base Matrix'!G$82*$AC$2*$AD$2*$AE$2*$AF$2+'Demand Base Matrix'!G$83*$W$2*$AC$2*$AD$2*$AE$2*$AF$2+'Demand Base Matrix'!G$84)))))</f>
        <v>50</v>
      </c>
      <c r="AK39">
        <f>IF($C39="Validate",(('Demand Base Matrix'!H$2+'Demand Base Matrix'!H$6)*$AC$2*$AD$2*$AE$2+('Demand Base Matrix'!H$3+'Demand Base Matrix'!H$4)*$W$2*$AD$2+'Demand Base Matrix'!H$5*$W$2*$AD$2*$AE$2+'Demand Base Matrix'!H$7+'Demand Base Matrix'!H$8*$AF$2),IF($C39="Integrate",(('Demand Base Matrix'!H$28+'Demand Base Matrix'!H$32)*$AC$2*$AD$2*$AE$2+('Demand Base Matrix'!H$29+'Demand Base Matrix'!H$30)*$W$2*$AD$2+'Demand Base Matrix'!H$31*$W$2*$AD$2*$AE$2+'Demand Base Matrix'!H$33+'Demand Base Matrix'!H$34*$AF$2),IF($C39="Bond",(('Demand Base Matrix'!H$55+'Demand Base Matrix'!H$59)*$AC$2*$AD$2*$AE$2+('Demand Base Matrix'!H$56+'Demand Base Matrix'!H$57)*$W$2*$AD$2+'Demand Base Matrix'!H$58*$W$2*$AD$2*$AE$2+'Demand Base Matrix'!H$60+'Demand Base Matrix'!H$61*$AF$2),IF($C39="Explore",('Demand Base Matrix'!H$82*$AC$2*$AD$2*$AE$2*$AF$2+'Demand Base Matrix'!H$83*$W$2*$AC$2*$AD$2*$AE$2*$AF$2+'Demand Base Matrix'!H$84)))))</f>
        <v>28</v>
      </c>
      <c r="AL39">
        <f>IF($C39="Validate",(('Demand Base Matrix'!I$2+'Demand Base Matrix'!I$6)*$AC$2*$AD$2*$AE$2+('Demand Base Matrix'!I$3+'Demand Base Matrix'!I$4)*$W$2*$AD$2+'Demand Base Matrix'!I$5*$W$2*$AD$2*$AE$2+'Demand Base Matrix'!I$7+'Demand Base Matrix'!I$8*$AF$2),IF($C39="Integrate",(('Demand Base Matrix'!I$28+'Demand Base Matrix'!I$32)*$AC$2*$AD$2*$AE$2+('Demand Base Matrix'!I$29+'Demand Base Matrix'!I$30)*$W$2*$AD$2+'Demand Base Matrix'!I$31*$W$2*$AD$2*$AE$2+'Demand Base Matrix'!I$33+'Demand Base Matrix'!I$34*$AF$2),IF($C39="Bond",(('Demand Base Matrix'!I$55+'Demand Base Matrix'!I$59)*$AC$2*$AD$2*$AE$2+('Demand Base Matrix'!I$56+'Demand Base Matrix'!I$57)*$W$2*$AD$2+'Demand Base Matrix'!I$58*$W$2*$AD$2*$AE$2+'Demand Base Matrix'!I$60+'Demand Base Matrix'!I$61*$AF$2),IF($C39="Explore",('Demand Base Matrix'!I$82*$AC$2*$AD$2*$AE$2*$AF$2+'Demand Base Matrix'!I$83*$W$2*$AC$2*$AD$2*$AE$2*$AF$2+'Demand Base Matrix'!I$84)))))</f>
        <v>8</v>
      </c>
      <c r="AM39">
        <f>IF($C39="Validate",(('Demand Base Matrix'!J$2+'Demand Base Matrix'!J$6)*$AC$2*$AD$2*$AE$2+('Demand Base Matrix'!J$3+'Demand Base Matrix'!J$4)*$W$2*$AD$2+'Demand Base Matrix'!J$5*$W$2*$AD$2*$AE$2+'Demand Base Matrix'!J$7+'Demand Base Matrix'!J$8*$AF$2),IF($C39="Integrate",(('Demand Base Matrix'!J$28+'Demand Base Matrix'!J$32)*$AC$2*$AD$2*$AE$2+('Demand Base Matrix'!J$29+'Demand Base Matrix'!J$30)*$W$2*$AD$2+'Demand Base Matrix'!J$31*$W$2*$AD$2*$AE$2+'Demand Base Matrix'!J$33+'Demand Base Matrix'!J$34*$AF$2),IF($C39="Bond",(('Demand Base Matrix'!J$55+'Demand Base Matrix'!J$59)*$AC$2*$AD$2*$AE$2+('Demand Base Matrix'!J$56+'Demand Base Matrix'!J$57)*$W$2*$AD$2+'Demand Base Matrix'!J$58*$W$2*$AD$2*$AE$2+'Demand Base Matrix'!J$60+'Demand Base Matrix'!J$61*$AF$2),IF($C39="Explore",('Demand Base Matrix'!J$82*$AC$2*$AD$2*$AE$2*$AF$2+'Demand Base Matrix'!J$83*$W$2*$AC$2*$AD$2*$AE$2*$AF$2+'Demand Base Matrix'!J$84)))))</f>
        <v>8</v>
      </c>
      <c r="AP39" s="5"/>
      <c r="AQ39" s="5"/>
      <c r="AR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</row>
    <row r="40" spans="1:95" x14ac:dyDescent="0.2">
      <c r="A40" t="s">
        <v>752</v>
      </c>
      <c r="B40" t="s">
        <v>211</v>
      </c>
      <c r="C40" t="s">
        <v>20</v>
      </c>
      <c r="D40" t="s">
        <v>179</v>
      </c>
      <c r="E40" t="s">
        <v>115</v>
      </c>
      <c r="F40" t="s">
        <v>800</v>
      </c>
      <c r="I40" t="str">
        <f>IFERROR(INDEX('Customer 360'!F:F,MATCH(B40,'Customer 360'!A:A,0)),"-")</f>
        <v>C</v>
      </c>
      <c r="J40">
        <v>290</v>
      </c>
      <c r="K40"/>
      <c r="L40" s="4">
        <v>46139</v>
      </c>
      <c r="M40" s="4">
        <v>46136</v>
      </c>
      <c r="N40">
        <v>2026</v>
      </c>
      <c r="O40" s="4">
        <v>46023</v>
      </c>
      <c r="P40" t="s">
        <v>217</v>
      </c>
      <c r="Q40" s="18">
        <f t="shared" si="0"/>
        <v>46023</v>
      </c>
      <c r="R40" s="18">
        <f>IFERROR(IF(M40&lt;&gt;"",M40,IF(L40&lt;&gt;"",L40,INDEX('CSM RDD'!B:B,MATCH(B40,'CSM RDD'!A:A,0)))),"-")</f>
        <v>46136</v>
      </c>
      <c r="S40" s="18">
        <f t="shared" si="7"/>
        <v>46023</v>
      </c>
      <c r="T40" s="18">
        <f t="shared" si="8"/>
        <v>46113</v>
      </c>
      <c r="U40" s="6">
        <f t="shared" si="9"/>
        <v>290</v>
      </c>
      <c r="V40" s="18">
        <f t="shared" si="18"/>
        <v>46023</v>
      </c>
      <c r="W40">
        <f>IF(U40=0,1,IF(U40&lt;='Demand Base Matrix'!$K$3,'Demand Base Matrix'!$L$3,IF(U40&lt;='Demand Base Matrix'!$K$4,'Demand Base Matrix'!$L$4,IF(U40&lt;='Demand Base Matrix'!$K$5,'Demand Base Matrix'!$L$5,IF(U40&lt;='Demand Base Matrix'!$K$6,'Demand Base Matrix'!$L$6,IF(U40&lt;='Demand Base Matrix'!$K$7,'Demand Base Matrix'!$L$7))))))</f>
        <v>0.75</v>
      </c>
      <c r="X40" s="4">
        <f t="shared" si="10"/>
        <v>46113</v>
      </c>
      <c r="Y40" t="str">
        <f t="shared" si="11"/>
        <v>Dx</v>
      </c>
      <c r="Z40" t="s">
        <v>685</v>
      </c>
      <c r="AA40" t="s">
        <v>685</v>
      </c>
      <c r="AB40" t="s">
        <v>685</v>
      </c>
      <c r="AC40">
        <f>IFERROR(INDEX('Demand Base Matrix'!AM:AM,MATCH(Y40,'Demand Base Matrix'!AL:AL,0)),"-")</f>
        <v>1</v>
      </c>
      <c r="AD40">
        <f>IFERROR(INDEX('Demand Base Matrix'!AO:AO,MATCH(Z40,'Demand Base Matrix'!AN:AN,0)),1)</f>
        <v>1</v>
      </c>
      <c r="AE40">
        <f>IFERROR(INDEX('Demand Base Matrix'!AQ:AQ,MATCH(AA40,'Demand Base Matrix'!AP:AP,0)),1)</f>
        <v>1</v>
      </c>
      <c r="AF40">
        <f>IFERROR(INDEX('Demand Base Matrix'!AS:AS,MATCH(AB40,'Demand Base Matrix'!AR:AR,0)),1)</f>
        <v>1</v>
      </c>
      <c r="AG40">
        <f>IF($C40="Validate",(('Demand Base Matrix'!D$2+'Demand Base Matrix'!D$6)*$AC$2*$AD$2*$AE$2+('Demand Base Matrix'!D$3+'Demand Base Matrix'!D$4)*$W$2*$AD$2+'Demand Base Matrix'!D$5*$W$2*$AD$2*$AE$2+'Demand Base Matrix'!D$7+'Demand Base Matrix'!D$8*$AF$2),IF($C40="Integrate",(('Demand Base Matrix'!D$28+'Demand Base Matrix'!D$32)*$AC$2*$AD$2*$AE$2+('Demand Base Matrix'!D$29+'Demand Base Matrix'!D$30)*$W$2*$AD$2+'Demand Base Matrix'!D$31*$W$2*$AD$2*$AE$2+'Demand Base Matrix'!D$33+'Demand Base Matrix'!D$34*$AF$2),IF($C40="Bond",(('Demand Base Matrix'!D$55+'Demand Base Matrix'!D$59)*$AC$2*$AD$2*$AE$2+('Demand Base Matrix'!D$56+'Demand Base Matrix'!D$57)*$W$2*$AD$2+'Demand Base Matrix'!D$58*$W$2*$AD$2*$AE$2+'Demand Base Matrix'!D$60+'Demand Base Matrix'!D$61*$AF$2),IF($C40="Explore",('Demand Base Matrix'!D$82*$AC$2*$AD$2*$AE$2*$AF$2+'Demand Base Matrix'!D$83*$W$2*$AC$2*$AD$2*$AE$2*$AF$2+'Demand Base Matrix'!D$84)))))</f>
        <v>15</v>
      </c>
      <c r="AH40">
        <f>IF($C40="Validate",(('Demand Base Matrix'!E$2+'Demand Base Matrix'!E$6)*$AC$2*$AD$2*$AE$2+('Demand Base Matrix'!E$3+'Demand Base Matrix'!E$4)*$W$2*$AD$2+'Demand Base Matrix'!E$5*$W$2*$AD$2*$AE$2+'Demand Base Matrix'!E$7+'Demand Base Matrix'!E$8*$AF$2),IF($C40="Integrate",(('Demand Base Matrix'!E$28+'Demand Base Matrix'!E$32)*$AC$2*$AD$2*$AE$2+('Demand Base Matrix'!E$29+'Demand Base Matrix'!E$30)*$W$2*$AD$2+'Demand Base Matrix'!E$31*$W$2*$AD$2*$AE$2+'Demand Base Matrix'!E$33+'Demand Base Matrix'!E$34*$AF$2),IF($C40="Bond",(('Demand Base Matrix'!E$55+'Demand Base Matrix'!E$59)*$AC$2*$AD$2*$AE$2+('Demand Base Matrix'!E$56+'Demand Base Matrix'!E$57)*$W$2*$AD$2+'Demand Base Matrix'!E$58*$W$2*$AD$2*$AE$2+'Demand Base Matrix'!E$60+'Demand Base Matrix'!E$61*$AF$2),IF($C40="Explore",('Demand Base Matrix'!E$82*$AC$2*$AD$2*$AE$2*$AF$2+'Demand Base Matrix'!E$83*$W$2*$AC$2*$AD$2*$AE$2*$AF$2+'Demand Base Matrix'!E$84)))))</f>
        <v>15</v>
      </c>
      <c r="AI40">
        <f>IF($C40="Validate",(('Demand Base Matrix'!F$2+'Demand Base Matrix'!F$6)*$AC$2*$AD$2*$AE$2+('Demand Base Matrix'!F$3+'Demand Base Matrix'!F$4)*$W$2*$AD$2+'Demand Base Matrix'!F$5*$W$2*$AD$2*$AE$2+'Demand Base Matrix'!F$7+'Demand Base Matrix'!F$8*$AF$2),IF($C40="Integrate",(('Demand Base Matrix'!F$28+'Demand Base Matrix'!F$32)*$AC$2*$AD$2*$AE$2+('Demand Base Matrix'!F$29+'Demand Base Matrix'!F$30)*$W$2*$AD$2+'Demand Base Matrix'!F$31*$W$2*$AD$2*$AE$2+'Demand Base Matrix'!F$33+'Demand Base Matrix'!F$34*$AF$2),IF($C40="Bond",(('Demand Base Matrix'!F$55+'Demand Base Matrix'!F$59)*$AC$2*$AD$2*$AE$2+('Demand Base Matrix'!F$56+'Demand Base Matrix'!F$57)*$W$2*$AD$2+'Demand Base Matrix'!F$58*$W$2*$AD$2*$AE$2+'Demand Base Matrix'!F$60+'Demand Base Matrix'!F$61*$AF$2),IF($C40="Explore",('Demand Base Matrix'!F$82*$AC$2*$AD$2*$AE$2*$AF$2+'Demand Base Matrix'!F$83*$W$2*$AC$2*$AD$2*$AE$2*$AF$2+'Demand Base Matrix'!F$84)))))</f>
        <v>7</v>
      </c>
      <c r="AJ40">
        <f>IF($C40="Validate",(('Demand Base Matrix'!G$2+'Demand Base Matrix'!G$6)*$AC$2*$AD$2*$AE$2+('Demand Base Matrix'!G$3+'Demand Base Matrix'!G$4)*$W$2*$AD$2+'Demand Base Matrix'!G$5*$W$2*$AD$2*$AE$2+'Demand Base Matrix'!G$7+'Demand Base Matrix'!G$8*$AF$2),IF($C40="Integrate",(('Demand Base Matrix'!G$28+'Demand Base Matrix'!G$32)*$AC$2*$AD$2*$AE$2+('Demand Base Matrix'!G$29+'Demand Base Matrix'!G$30)*$W$2*$AD$2+'Demand Base Matrix'!G$31*$W$2*$AD$2*$AE$2+'Demand Base Matrix'!G$33+'Demand Base Matrix'!G$34*$AF$2),IF($C40="Bond",(('Demand Base Matrix'!G$55+'Demand Base Matrix'!G$59)*$AC$2*$AD$2*$AE$2+('Demand Base Matrix'!G$56+'Demand Base Matrix'!G$57)*$W$2*$AD$2+'Demand Base Matrix'!G$58*$W$2*$AD$2*$AE$2+'Demand Base Matrix'!G$60+'Demand Base Matrix'!G$61*$AF$2),IF($C40="Explore",('Demand Base Matrix'!G$82*$AC$2*$AD$2*$AE$2*$AF$2+'Demand Base Matrix'!G$83*$W$2*$AC$2*$AD$2*$AE$2*$AF$2+'Demand Base Matrix'!G$84)))))</f>
        <v>40</v>
      </c>
      <c r="AK40">
        <f>IF($C40="Validate",(('Demand Base Matrix'!H$2+'Demand Base Matrix'!H$6)*$AC$2*$AD$2*$AE$2+('Demand Base Matrix'!H$3+'Demand Base Matrix'!H$4)*$W$2*$AD$2+'Demand Base Matrix'!H$5*$W$2*$AD$2*$AE$2+'Demand Base Matrix'!H$7+'Demand Base Matrix'!H$8*$AF$2),IF($C40="Integrate",(('Demand Base Matrix'!H$28+'Demand Base Matrix'!H$32)*$AC$2*$AD$2*$AE$2+('Demand Base Matrix'!H$29+'Demand Base Matrix'!H$30)*$W$2*$AD$2+'Demand Base Matrix'!H$31*$W$2*$AD$2*$AE$2+'Demand Base Matrix'!H$33+'Demand Base Matrix'!H$34*$AF$2),IF($C40="Bond",(('Demand Base Matrix'!H$55+'Demand Base Matrix'!H$59)*$AC$2*$AD$2*$AE$2+('Demand Base Matrix'!H$56+'Demand Base Matrix'!H$57)*$W$2*$AD$2+'Demand Base Matrix'!H$58*$W$2*$AD$2*$AE$2+'Demand Base Matrix'!H$60+'Demand Base Matrix'!H$61*$AF$2),IF($C40="Explore",('Demand Base Matrix'!H$82*$AC$2*$AD$2*$AE$2*$AF$2+'Demand Base Matrix'!H$83*$W$2*$AC$2*$AD$2*$AE$2*$AF$2+'Demand Base Matrix'!H$84)))))</f>
        <v>60</v>
      </c>
      <c r="AL40">
        <f>IF($C40="Validate",(('Demand Base Matrix'!I$2+'Demand Base Matrix'!I$6)*$AC$2*$AD$2*$AE$2+('Demand Base Matrix'!I$3+'Demand Base Matrix'!I$4)*$W$2*$AD$2+'Demand Base Matrix'!I$5*$W$2*$AD$2*$AE$2+'Demand Base Matrix'!I$7+'Demand Base Matrix'!I$8*$AF$2),IF($C40="Integrate",(('Demand Base Matrix'!I$28+'Demand Base Matrix'!I$32)*$AC$2*$AD$2*$AE$2+('Demand Base Matrix'!I$29+'Demand Base Matrix'!I$30)*$W$2*$AD$2+'Demand Base Matrix'!I$31*$W$2*$AD$2*$AE$2+'Demand Base Matrix'!I$33+'Demand Base Matrix'!I$34*$AF$2),IF($C40="Bond",(('Demand Base Matrix'!I$55+'Demand Base Matrix'!I$59)*$AC$2*$AD$2*$AE$2+('Demand Base Matrix'!I$56+'Demand Base Matrix'!I$57)*$W$2*$AD$2+'Demand Base Matrix'!I$58*$W$2*$AD$2*$AE$2+'Demand Base Matrix'!I$60+'Demand Base Matrix'!I$61*$AF$2),IF($C40="Explore",('Demand Base Matrix'!I$82*$AC$2*$AD$2*$AE$2*$AF$2+'Demand Base Matrix'!I$83*$W$2*$AC$2*$AD$2*$AE$2*$AF$2+'Demand Base Matrix'!I$84)))))</f>
        <v>10</v>
      </c>
      <c r="AM40">
        <f>IF($C40="Validate",(('Demand Base Matrix'!J$2+'Demand Base Matrix'!J$6)*$AC$2*$AD$2*$AE$2+('Demand Base Matrix'!J$3+'Demand Base Matrix'!J$4)*$W$2*$AD$2+'Demand Base Matrix'!J$5*$W$2*$AD$2*$AE$2+'Demand Base Matrix'!J$7+'Demand Base Matrix'!J$8*$AF$2),IF($C40="Integrate",(('Demand Base Matrix'!J$28+'Demand Base Matrix'!J$32)*$AC$2*$AD$2*$AE$2+('Demand Base Matrix'!J$29+'Demand Base Matrix'!J$30)*$W$2*$AD$2+'Demand Base Matrix'!J$31*$W$2*$AD$2*$AE$2+'Demand Base Matrix'!J$33+'Demand Base Matrix'!J$34*$AF$2),IF($C40="Bond",(('Demand Base Matrix'!J$55+'Demand Base Matrix'!J$59)*$AC$2*$AD$2*$AE$2+('Demand Base Matrix'!J$56+'Demand Base Matrix'!J$57)*$W$2*$AD$2+'Demand Base Matrix'!J$58*$W$2*$AD$2*$AE$2+'Demand Base Matrix'!J$60+'Demand Base Matrix'!J$61*$AF$2),IF($C40="Explore",('Demand Base Matrix'!J$82*$AC$2*$AD$2*$AE$2*$AF$2+'Demand Base Matrix'!J$83*$W$2*$AC$2*$AD$2*$AE$2*$AF$2+'Demand Base Matrix'!J$84)))))</f>
        <v>4</v>
      </c>
      <c r="AP40" s="5"/>
      <c r="AQ40" s="5"/>
      <c r="AR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</row>
    <row r="41" spans="1:95" x14ac:dyDescent="0.2">
      <c r="A41" t="s">
        <v>753</v>
      </c>
      <c r="B41" t="s">
        <v>649</v>
      </c>
      <c r="C41" t="s">
        <v>20</v>
      </c>
      <c r="D41" t="s">
        <v>44</v>
      </c>
      <c r="E41" t="s">
        <v>699</v>
      </c>
      <c r="F41" t="s">
        <v>187</v>
      </c>
      <c r="I41" t="str">
        <f>IFERROR(INDEX('Customer 360'!F:F,MATCH(B41,'Customer 360'!A:A,0)),"-")</f>
        <v>B</v>
      </c>
      <c r="J41">
        <v>9288</v>
      </c>
      <c r="K41"/>
      <c r="L41" s="4">
        <v>46244</v>
      </c>
      <c r="M41" s="4">
        <v>46244</v>
      </c>
      <c r="N41">
        <v>2026</v>
      </c>
      <c r="O41" s="4">
        <v>46082</v>
      </c>
      <c r="P41" t="s">
        <v>217</v>
      </c>
      <c r="Q41" s="18">
        <f t="shared" si="0"/>
        <v>46082</v>
      </c>
      <c r="R41" s="18">
        <f>IFERROR(IF(M41&lt;&gt;"",M41,IF(L41&lt;&gt;"",L41,INDEX('CSM RDD'!B:B,MATCH(B41,'CSM RDD'!A:A,0)))),"-")</f>
        <v>46244</v>
      </c>
      <c r="S41" s="18">
        <f t="shared" si="7"/>
        <v>46082</v>
      </c>
      <c r="T41" s="18">
        <f t="shared" si="8"/>
        <v>46235</v>
      </c>
      <c r="U41" s="6">
        <f t="shared" si="9"/>
        <v>9288</v>
      </c>
      <c r="V41" s="18">
        <f t="shared" si="18"/>
        <v>46082</v>
      </c>
      <c r="W41">
        <f>IF(U41=0,1,IF(U41&lt;='Demand Base Matrix'!$K$3,'Demand Base Matrix'!$L$3,IF(U41&lt;='Demand Base Matrix'!$K$4,'Demand Base Matrix'!$L$4,IF(U41&lt;='Demand Base Matrix'!$K$5,'Demand Base Matrix'!$L$5,IF(U41&lt;='Demand Base Matrix'!$K$6,'Demand Base Matrix'!$L$6,IF(U41&lt;='Demand Base Matrix'!$K$7,'Demand Base Matrix'!$L$7))))))</f>
        <v>1.25</v>
      </c>
      <c r="X41" s="4">
        <f t="shared" si="10"/>
        <v>46235</v>
      </c>
      <c r="Y41" t="str">
        <f t="shared" si="11"/>
        <v>Dx</v>
      </c>
      <c r="Z41" t="s">
        <v>685</v>
      </c>
      <c r="AA41" t="s">
        <v>685</v>
      </c>
      <c r="AB41" t="s">
        <v>682</v>
      </c>
      <c r="AC41">
        <f>IFERROR(INDEX('Demand Base Matrix'!AM:AM,MATCH(Y41,'Demand Base Matrix'!AL:AL,0)),"-")</f>
        <v>1</v>
      </c>
      <c r="AD41">
        <f>IFERROR(INDEX('Demand Base Matrix'!AO:AO,MATCH(Z41,'Demand Base Matrix'!AN:AN,0)),1)</f>
        <v>1</v>
      </c>
      <c r="AE41">
        <f>IFERROR(INDEX('Demand Base Matrix'!AQ:AQ,MATCH(AA41,'Demand Base Matrix'!AP:AP,0)),1)</f>
        <v>1</v>
      </c>
      <c r="AF41">
        <f>IFERROR(INDEX('Demand Base Matrix'!AS:AS,MATCH(AB41,'Demand Base Matrix'!AR:AR,0)),1)</f>
        <v>2</v>
      </c>
      <c r="AG41">
        <f>IF($C41="Validate",(('Demand Base Matrix'!D$2+'Demand Base Matrix'!D$6)*$AC$2*$AD$2*$AE$2+('Demand Base Matrix'!D$3+'Demand Base Matrix'!D$4)*$W$2*$AD$2+'Demand Base Matrix'!D$5*$W$2*$AD$2*$AE$2+'Demand Base Matrix'!D$7+'Demand Base Matrix'!D$8*$AF$2),IF($C41="Integrate",(('Demand Base Matrix'!D$28+'Demand Base Matrix'!D$32)*$AC$2*$AD$2*$AE$2+('Demand Base Matrix'!D$29+'Demand Base Matrix'!D$30)*$W$2*$AD$2+'Demand Base Matrix'!D$31*$W$2*$AD$2*$AE$2+'Demand Base Matrix'!D$33+'Demand Base Matrix'!D$34*$AF$2),IF($C41="Bond",(('Demand Base Matrix'!D$55+'Demand Base Matrix'!D$59)*$AC$2*$AD$2*$AE$2+('Demand Base Matrix'!D$56+'Demand Base Matrix'!D$57)*$W$2*$AD$2+'Demand Base Matrix'!D$58*$W$2*$AD$2*$AE$2+'Demand Base Matrix'!D$60+'Demand Base Matrix'!D$61*$AF$2),IF($C41="Explore",('Demand Base Matrix'!D$82*$AC$2*$AD$2*$AE$2*$AF$2+'Demand Base Matrix'!D$83*$W$2*$AC$2*$AD$2*$AE$2*$AF$2+'Demand Base Matrix'!D$84)))))</f>
        <v>15</v>
      </c>
      <c r="AH41">
        <f>IF($C41="Validate",(('Demand Base Matrix'!E$2+'Demand Base Matrix'!E$6)*$AC$2*$AD$2*$AE$2+('Demand Base Matrix'!E$3+'Demand Base Matrix'!E$4)*$W$2*$AD$2+'Demand Base Matrix'!E$5*$W$2*$AD$2*$AE$2+'Demand Base Matrix'!E$7+'Demand Base Matrix'!E$8*$AF$2),IF($C41="Integrate",(('Demand Base Matrix'!E$28+'Demand Base Matrix'!E$32)*$AC$2*$AD$2*$AE$2+('Demand Base Matrix'!E$29+'Demand Base Matrix'!E$30)*$W$2*$AD$2+'Demand Base Matrix'!E$31*$W$2*$AD$2*$AE$2+'Demand Base Matrix'!E$33+'Demand Base Matrix'!E$34*$AF$2),IF($C41="Bond",(('Demand Base Matrix'!E$55+'Demand Base Matrix'!E$59)*$AC$2*$AD$2*$AE$2+('Demand Base Matrix'!E$56+'Demand Base Matrix'!E$57)*$W$2*$AD$2+'Demand Base Matrix'!E$58*$W$2*$AD$2*$AE$2+'Demand Base Matrix'!E$60+'Demand Base Matrix'!E$61*$AF$2),IF($C41="Explore",('Demand Base Matrix'!E$82*$AC$2*$AD$2*$AE$2*$AF$2+'Demand Base Matrix'!E$83*$W$2*$AC$2*$AD$2*$AE$2*$AF$2+'Demand Base Matrix'!E$84)))))</f>
        <v>15</v>
      </c>
      <c r="AI41">
        <f>IF($C41="Validate",(('Demand Base Matrix'!F$2+'Demand Base Matrix'!F$6)*$AC$2*$AD$2*$AE$2+('Demand Base Matrix'!F$3+'Demand Base Matrix'!F$4)*$W$2*$AD$2+'Demand Base Matrix'!F$5*$W$2*$AD$2*$AE$2+'Demand Base Matrix'!F$7+'Demand Base Matrix'!F$8*$AF$2),IF($C41="Integrate",(('Demand Base Matrix'!F$28+'Demand Base Matrix'!F$32)*$AC$2*$AD$2*$AE$2+('Demand Base Matrix'!F$29+'Demand Base Matrix'!F$30)*$W$2*$AD$2+'Demand Base Matrix'!F$31*$W$2*$AD$2*$AE$2+'Demand Base Matrix'!F$33+'Demand Base Matrix'!F$34*$AF$2),IF($C41="Bond",(('Demand Base Matrix'!F$55+'Demand Base Matrix'!F$59)*$AC$2*$AD$2*$AE$2+('Demand Base Matrix'!F$56+'Demand Base Matrix'!F$57)*$W$2*$AD$2+'Demand Base Matrix'!F$58*$W$2*$AD$2*$AE$2+'Demand Base Matrix'!F$60+'Demand Base Matrix'!F$61*$AF$2),IF($C41="Explore",('Demand Base Matrix'!F$82*$AC$2*$AD$2*$AE$2*$AF$2+'Demand Base Matrix'!F$83*$W$2*$AC$2*$AD$2*$AE$2*$AF$2+'Demand Base Matrix'!F$84)))))</f>
        <v>7</v>
      </c>
      <c r="AJ41">
        <f>IF($C41="Validate",(('Demand Base Matrix'!G$2+'Demand Base Matrix'!G$6)*$AC$2*$AD$2*$AE$2+('Demand Base Matrix'!G$3+'Demand Base Matrix'!G$4)*$W$2*$AD$2+'Demand Base Matrix'!G$5*$W$2*$AD$2*$AE$2+'Demand Base Matrix'!G$7+'Demand Base Matrix'!G$8*$AF$2),IF($C41="Integrate",(('Demand Base Matrix'!G$28+'Demand Base Matrix'!G$32)*$AC$2*$AD$2*$AE$2+('Demand Base Matrix'!G$29+'Demand Base Matrix'!G$30)*$W$2*$AD$2+'Demand Base Matrix'!G$31*$W$2*$AD$2*$AE$2+'Demand Base Matrix'!G$33+'Demand Base Matrix'!G$34*$AF$2),IF($C41="Bond",(('Demand Base Matrix'!G$55+'Demand Base Matrix'!G$59)*$AC$2*$AD$2*$AE$2+('Demand Base Matrix'!G$56+'Demand Base Matrix'!G$57)*$W$2*$AD$2+'Demand Base Matrix'!G$58*$W$2*$AD$2*$AE$2+'Demand Base Matrix'!G$60+'Demand Base Matrix'!G$61*$AF$2),IF($C41="Explore",('Demand Base Matrix'!G$82*$AC$2*$AD$2*$AE$2*$AF$2+'Demand Base Matrix'!G$83*$W$2*$AC$2*$AD$2*$AE$2*$AF$2+'Demand Base Matrix'!G$84)))))</f>
        <v>40</v>
      </c>
      <c r="AK41">
        <f>IF($C41="Validate",(('Demand Base Matrix'!H$2+'Demand Base Matrix'!H$6)*$AC$2*$AD$2*$AE$2+('Demand Base Matrix'!H$3+'Demand Base Matrix'!H$4)*$W$2*$AD$2+'Demand Base Matrix'!H$5*$W$2*$AD$2*$AE$2+'Demand Base Matrix'!H$7+'Demand Base Matrix'!H$8*$AF$2),IF($C41="Integrate",(('Demand Base Matrix'!H$28+'Demand Base Matrix'!H$32)*$AC$2*$AD$2*$AE$2+('Demand Base Matrix'!H$29+'Demand Base Matrix'!H$30)*$W$2*$AD$2+'Demand Base Matrix'!H$31*$W$2*$AD$2*$AE$2+'Demand Base Matrix'!H$33+'Demand Base Matrix'!H$34*$AF$2),IF($C41="Bond",(('Demand Base Matrix'!H$55+'Demand Base Matrix'!H$59)*$AC$2*$AD$2*$AE$2+('Demand Base Matrix'!H$56+'Demand Base Matrix'!H$57)*$W$2*$AD$2+'Demand Base Matrix'!H$58*$W$2*$AD$2*$AE$2+'Demand Base Matrix'!H$60+'Demand Base Matrix'!H$61*$AF$2),IF($C41="Explore",('Demand Base Matrix'!H$82*$AC$2*$AD$2*$AE$2*$AF$2+'Demand Base Matrix'!H$83*$W$2*$AC$2*$AD$2*$AE$2*$AF$2+'Demand Base Matrix'!H$84)))))</f>
        <v>60</v>
      </c>
      <c r="AL41">
        <f>IF($C41="Validate",(('Demand Base Matrix'!I$2+'Demand Base Matrix'!I$6)*$AC$2*$AD$2*$AE$2+('Demand Base Matrix'!I$3+'Demand Base Matrix'!I$4)*$W$2*$AD$2+'Demand Base Matrix'!I$5*$W$2*$AD$2*$AE$2+'Demand Base Matrix'!I$7+'Demand Base Matrix'!I$8*$AF$2),IF($C41="Integrate",(('Demand Base Matrix'!I$28+'Demand Base Matrix'!I$32)*$AC$2*$AD$2*$AE$2+('Demand Base Matrix'!I$29+'Demand Base Matrix'!I$30)*$W$2*$AD$2+'Demand Base Matrix'!I$31*$W$2*$AD$2*$AE$2+'Demand Base Matrix'!I$33+'Demand Base Matrix'!I$34*$AF$2),IF($C41="Bond",(('Demand Base Matrix'!I$55+'Demand Base Matrix'!I$59)*$AC$2*$AD$2*$AE$2+('Demand Base Matrix'!I$56+'Demand Base Matrix'!I$57)*$W$2*$AD$2+'Demand Base Matrix'!I$58*$W$2*$AD$2*$AE$2+'Demand Base Matrix'!I$60+'Demand Base Matrix'!I$61*$AF$2),IF($C41="Explore",('Demand Base Matrix'!I$82*$AC$2*$AD$2*$AE$2*$AF$2+'Demand Base Matrix'!I$83*$W$2*$AC$2*$AD$2*$AE$2*$AF$2+'Demand Base Matrix'!I$84)))))</f>
        <v>10</v>
      </c>
      <c r="AM41">
        <f>IF($C41="Validate",(('Demand Base Matrix'!J$2+'Demand Base Matrix'!J$6)*$AC$2*$AD$2*$AE$2+('Demand Base Matrix'!J$3+'Demand Base Matrix'!J$4)*$W$2*$AD$2+'Demand Base Matrix'!J$5*$W$2*$AD$2*$AE$2+'Demand Base Matrix'!J$7+'Demand Base Matrix'!J$8*$AF$2),IF($C41="Integrate",(('Demand Base Matrix'!J$28+'Demand Base Matrix'!J$32)*$AC$2*$AD$2*$AE$2+('Demand Base Matrix'!J$29+'Demand Base Matrix'!J$30)*$W$2*$AD$2+'Demand Base Matrix'!J$31*$W$2*$AD$2*$AE$2+'Demand Base Matrix'!J$33+'Demand Base Matrix'!J$34*$AF$2),IF($C41="Bond",(('Demand Base Matrix'!J$55+'Demand Base Matrix'!J$59)*$AC$2*$AD$2*$AE$2+('Demand Base Matrix'!J$56+'Demand Base Matrix'!J$57)*$W$2*$AD$2+'Demand Base Matrix'!J$58*$W$2*$AD$2*$AE$2+'Demand Base Matrix'!J$60+'Demand Base Matrix'!J$61*$AF$2),IF($C41="Explore",('Demand Base Matrix'!J$82*$AC$2*$AD$2*$AE$2*$AF$2+'Demand Base Matrix'!J$83*$W$2*$AC$2*$AD$2*$AE$2*$AF$2+'Demand Base Matrix'!J$84)))))</f>
        <v>4</v>
      </c>
      <c r="AP41" s="5"/>
      <c r="AQ41" s="5"/>
      <c r="AR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</row>
    <row r="42" spans="1:95" x14ac:dyDescent="0.2">
      <c r="A42" t="s">
        <v>754</v>
      </c>
      <c r="B42" t="s">
        <v>72</v>
      </c>
      <c r="C42" t="s">
        <v>23</v>
      </c>
      <c r="D42" t="s">
        <v>179</v>
      </c>
      <c r="E42" t="s">
        <v>118</v>
      </c>
      <c r="F42" t="s">
        <v>800</v>
      </c>
      <c r="I42" t="str">
        <f>IFERROR(INDEX('Customer 360'!F:F,MATCH(B42,'Customer 360'!A:A,0)),"-")</f>
        <v>C</v>
      </c>
      <c r="J42">
        <v>1125</v>
      </c>
      <c r="K42"/>
      <c r="L42" s="4">
        <v>46251</v>
      </c>
      <c r="M42" s="4">
        <v>46251</v>
      </c>
      <c r="N42">
        <v>2026</v>
      </c>
      <c r="O42" s="4">
        <v>46023</v>
      </c>
      <c r="P42" t="s">
        <v>217</v>
      </c>
      <c r="Q42" s="18">
        <f t="shared" si="0"/>
        <v>46023</v>
      </c>
      <c r="R42" s="18">
        <f>IFERROR(IF(M42&lt;&gt;"",M42,IF(L42&lt;&gt;"",L42,INDEX('CSM RDD'!B:B,MATCH(B42,'CSM RDD'!A:A,0)))),"-")</f>
        <v>46251</v>
      </c>
      <c r="S42" s="18">
        <f t="shared" si="7"/>
        <v>46023</v>
      </c>
      <c r="T42" s="18">
        <f t="shared" si="8"/>
        <v>46235</v>
      </c>
      <c r="U42" s="6">
        <f t="shared" si="9"/>
        <v>1125</v>
      </c>
      <c r="V42" s="18">
        <f t="shared" si="18"/>
        <v>46082</v>
      </c>
      <c r="W42">
        <f>IF(U42=0,1,IF(U42&lt;='Demand Base Matrix'!$K$3,'Demand Base Matrix'!$L$3,IF(U42&lt;='Demand Base Matrix'!$K$4,'Demand Base Matrix'!$L$4,IF(U42&lt;='Demand Base Matrix'!$K$5,'Demand Base Matrix'!$L$5,IF(U42&lt;='Demand Base Matrix'!$K$6,'Demand Base Matrix'!$L$6,IF(U42&lt;='Demand Base Matrix'!$K$7,'Demand Base Matrix'!$L$7))))))</f>
        <v>1</v>
      </c>
      <c r="X42" s="4">
        <f t="shared" si="10"/>
        <v>46235</v>
      </c>
      <c r="Y42" t="str">
        <f t="shared" si="11"/>
        <v>Dx</v>
      </c>
      <c r="Z42" t="s">
        <v>685</v>
      </c>
      <c r="AA42" t="s">
        <v>684</v>
      </c>
      <c r="AB42" t="s">
        <v>685</v>
      </c>
      <c r="AC42">
        <f>IFERROR(INDEX('Demand Base Matrix'!AM:AM,MATCH(Y42,'Demand Base Matrix'!AL:AL,0)),"-")</f>
        <v>1</v>
      </c>
      <c r="AD42">
        <f>IFERROR(INDEX('Demand Base Matrix'!AO:AO,MATCH(Z42,'Demand Base Matrix'!AN:AN,0)),1)</f>
        <v>1</v>
      </c>
      <c r="AE42">
        <f>IFERROR(INDEX('Demand Base Matrix'!AQ:AQ,MATCH(AA42,'Demand Base Matrix'!AP:AP,0)),1)</f>
        <v>1.5</v>
      </c>
      <c r="AF42">
        <f>IFERROR(INDEX('Demand Base Matrix'!AS:AS,MATCH(AB42,'Demand Base Matrix'!AR:AR,0)),1)</f>
        <v>1</v>
      </c>
      <c r="AG42">
        <f>IF($C42="Validate",(('Demand Base Matrix'!D$2+'Demand Base Matrix'!D$6)*$AC$2*$AD$2*$AE$2+('Demand Base Matrix'!D$3+'Demand Base Matrix'!D$4)*$W$2*$AD$2+'Demand Base Matrix'!D$5*$W$2*$AD$2*$AE$2+'Demand Base Matrix'!D$7+'Demand Base Matrix'!D$8*$AF$2),IF($C42="Integrate",(('Demand Base Matrix'!D$28+'Demand Base Matrix'!D$32)*$AC$2*$AD$2*$AE$2+('Demand Base Matrix'!D$29+'Demand Base Matrix'!D$30)*$W$2*$AD$2+'Demand Base Matrix'!D$31*$W$2*$AD$2*$AE$2+'Demand Base Matrix'!D$33+'Demand Base Matrix'!D$34*$AF$2),IF($C42="Bond",(('Demand Base Matrix'!D$55+'Demand Base Matrix'!D$59)*$AC$2*$AD$2*$AE$2+('Demand Base Matrix'!D$56+'Demand Base Matrix'!D$57)*$W$2*$AD$2+'Demand Base Matrix'!D$58*$W$2*$AD$2*$AE$2+'Demand Base Matrix'!D$60+'Demand Base Matrix'!D$61*$AF$2),IF($C42="Explore",('Demand Base Matrix'!D$82*$AC$2*$AD$2*$AE$2*$AF$2+'Demand Base Matrix'!D$83*$W$2*$AC$2*$AD$2*$AE$2*$AF$2+'Demand Base Matrix'!D$84)))))</f>
        <v>10</v>
      </c>
      <c r="AH42">
        <f>IF($C42="Validate",(('Demand Base Matrix'!E$2+'Demand Base Matrix'!E$6)*$AC$2*$AD$2*$AE$2+('Demand Base Matrix'!E$3+'Demand Base Matrix'!E$4)*$W$2*$AD$2+'Demand Base Matrix'!E$5*$W$2*$AD$2*$AE$2+'Demand Base Matrix'!E$7+'Demand Base Matrix'!E$8*$AF$2),IF($C42="Integrate",(('Demand Base Matrix'!E$28+'Demand Base Matrix'!E$32)*$AC$2*$AD$2*$AE$2+('Demand Base Matrix'!E$29+'Demand Base Matrix'!E$30)*$W$2*$AD$2+'Demand Base Matrix'!E$31*$W$2*$AD$2*$AE$2+'Demand Base Matrix'!E$33+'Demand Base Matrix'!E$34*$AF$2),IF($C42="Bond",(('Demand Base Matrix'!E$55+'Demand Base Matrix'!E$59)*$AC$2*$AD$2*$AE$2+('Demand Base Matrix'!E$56+'Demand Base Matrix'!E$57)*$W$2*$AD$2+'Demand Base Matrix'!E$58*$W$2*$AD$2*$AE$2+'Demand Base Matrix'!E$60+'Demand Base Matrix'!E$61*$AF$2),IF($C42="Explore",('Demand Base Matrix'!E$82*$AC$2*$AD$2*$AE$2*$AF$2+'Demand Base Matrix'!E$83*$W$2*$AC$2*$AD$2*$AE$2*$AF$2+'Demand Base Matrix'!E$84)))))</f>
        <v>10</v>
      </c>
      <c r="AI42">
        <f>IF($C42="Validate",(('Demand Base Matrix'!F$2+'Demand Base Matrix'!F$6)*$AC$2*$AD$2*$AE$2+('Demand Base Matrix'!F$3+'Demand Base Matrix'!F$4)*$W$2*$AD$2+'Demand Base Matrix'!F$5*$W$2*$AD$2*$AE$2+'Demand Base Matrix'!F$7+'Demand Base Matrix'!F$8*$AF$2),IF($C42="Integrate",(('Demand Base Matrix'!F$28+'Demand Base Matrix'!F$32)*$AC$2*$AD$2*$AE$2+('Demand Base Matrix'!F$29+'Demand Base Matrix'!F$30)*$W$2*$AD$2+'Demand Base Matrix'!F$31*$W$2*$AD$2*$AE$2+'Demand Base Matrix'!F$33+'Demand Base Matrix'!F$34*$AF$2),IF($C42="Bond",(('Demand Base Matrix'!F$55+'Demand Base Matrix'!F$59)*$AC$2*$AD$2*$AE$2+('Demand Base Matrix'!F$56+'Demand Base Matrix'!F$57)*$W$2*$AD$2+'Demand Base Matrix'!F$58*$W$2*$AD$2*$AE$2+'Demand Base Matrix'!F$60+'Demand Base Matrix'!F$61*$AF$2),IF($C42="Explore",('Demand Base Matrix'!F$82*$AC$2*$AD$2*$AE$2*$AF$2+'Demand Base Matrix'!F$83*$W$2*$AC$2*$AD$2*$AE$2*$AF$2+'Demand Base Matrix'!F$84)))))</f>
        <v>10</v>
      </c>
      <c r="AJ42">
        <f>IF($C42="Validate",(('Demand Base Matrix'!G$2+'Demand Base Matrix'!G$6)*$AC$2*$AD$2*$AE$2+('Demand Base Matrix'!G$3+'Demand Base Matrix'!G$4)*$W$2*$AD$2+'Demand Base Matrix'!G$5*$W$2*$AD$2*$AE$2+'Demand Base Matrix'!G$7+'Demand Base Matrix'!G$8*$AF$2),IF($C42="Integrate",(('Demand Base Matrix'!G$28+'Demand Base Matrix'!G$32)*$AC$2*$AD$2*$AE$2+('Demand Base Matrix'!G$29+'Demand Base Matrix'!G$30)*$W$2*$AD$2+'Demand Base Matrix'!G$31*$W$2*$AD$2*$AE$2+'Demand Base Matrix'!G$33+'Demand Base Matrix'!G$34*$AF$2),IF($C42="Bond",(('Demand Base Matrix'!G$55+'Demand Base Matrix'!G$59)*$AC$2*$AD$2*$AE$2+('Demand Base Matrix'!G$56+'Demand Base Matrix'!G$57)*$W$2*$AD$2+'Demand Base Matrix'!G$58*$W$2*$AD$2*$AE$2+'Demand Base Matrix'!G$60+'Demand Base Matrix'!G$61*$AF$2),IF($C42="Explore",('Demand Base Matrix'!G$82*$AC$2*$AD$2*$AE$2*$AF$2+'Demand Base Matrix'!G$83*$W$2*$AC$2*$AD$2*$AE$2*$AF$2+'Demand Base Matrix'!G$84)))))</f>
        <v>50</v>
      </c>
      <c r="AK42">
        <f>IF($C42="Validate",(('Demand Base Matrix'!H$2+'Demand Base Matrix'!H$6)*$AC$2*$AD$2*$AE$2+('Demand Base Matrix'!H$3+'Demand Base Matrix'!H$4)*$W$2*$AD$2+'Demand Base Matrix'!H$5*$W$2*$AD$2*$AE$2+'Demand Base Matrix'!H$7+'Demand Base Matrix'!H$8*$AF$2),IF($C42="Integrate",(('Demand Base Matrix'!H$28+'Demand Base Matrix'!H$32)*$AC$2*$AD$2*$AE$2+('Demand Base Matrix'!H$29+'Demand Base Matrix'!H$30)*$W$2*$AD$2+'Demand Base Matrix'!H$31*$W$2*$AD$2*$AE$2+'Demand Base Matrix'!H$33+'Demand Base Matrix'!H$34*$AF$2),IF($C42="Bond",(('Demand Base Matrix'!H$55+'Demand Base Matrix'!H$59)*$AC$2*$AD$2*$AE$2+('Demand Base Matrix'!H$56+'Demand Base Matrix'!H$57)*$W$2*$AD$2+'Demand Base Matrix'!H$58*$W$2*$AD$2*$AE$2+'Demand Base Matrix'!H$60+'Demand Base Matrix'!H$61*$AF$2),IF($C42="Explore",('Demand Base Matrix'!H$82*$AC$2*$AD$2*$AE$2*$AF$2+'Demand Base Matrix'!H$83*$W$2*$AC$2*$AD$2*$AE$2*$AF$2+'Demand Base Matrix'!H$84)))))</f>
        <v>28</v>
      </c>
      <c r="AL42">
        <f>IF($C42="Validate",(('Demand Base Matrix'!I$2+'Demand Base Matrix'!I$6)*$AC$2*$AD$2*$AE$2+('Demand Base Matrix'!I$3+'Demand Base Matrix'!I$4)*$W$2*$AD$2+'Demand Base Matrix'!I$5*$W$2*$AD$2*$AE$2+'Demand Base Matrix'!I$7+'Demand Base Matrix'!I$8*$AF$2),IF($C42="Integrate",(('Demand Base Matrix'!I$28+'Demand Base Matrix'!I$32)*$AC$2*$AD$2*$AE$2+('Demand Base Matrix'!I$29+'Demand Base Matrix'!I$30)*$W$2*$AD$2+'Demand Base Matrix'!I$31*$W$2*$AD$2*$AE$2+'Demand Base Matrix'!I$33+'Demand Base Matrix'!I$34*$AF$2),IF($C42="Bond",(('Demand Base Matrix'!I$55+'Demand Base Matrix'!I$59)*$AC$2*$AD$2*$AE$2+('Demand Base Matrix'!I$56+'Demand Base Matrix'!I$57)*$W$2*$AD$2+'Demand Base Matrix'!I$58*$W$2*$AD$2*$AE$2+'Demand Base Matrix'!I$60+'Demand Base Matrix'!I$61*$AF$2),IF($C42="Explore",('Demand Base Matrix'!I$82*$AC$2*$AD$2*$AE$2*$AF$2+'Demand Base Matrix'!I$83*$W$2*$AC$2*$AD$2*$AE$2*$AF$2+'Demand Base Matrix'!I$84)))))</f>
        <v>8</v>
      </c>
      <c r="AM42">
        <f>IF($C42="Validate",(('Demand Base Matrix'!J$2+'Demand Base Matrix'!J$6)*$AC$2*$AD$2*$AE$2+('Demand Base Matrix'!J$3+'Demand Base Matrix'!J$4)*$W$2*$AD$2+'Demand Base Matrix'!J$5*$W$2*$AD$2*$AE$2+'Demand Base Matrix'!J$7+'Demand Base Matrix'!J$8*$AF$2),IF($C42="Integrate",(('Demand Base Matrix'!J$28+'Demand Base Matrix'!J$32)*$AC$2*$AD$2*$AE$2+('Demand Base Matrix'!J$29+'Demand Base Matrix'!J$30)*$W$2*$AD$2+'Demand Base Matrix'!J$31*$W$2*$AD$2*$AE$2+'Demand Base Matrix'!J$33+'Demand Base Matrix'!J$34*$AF$2),IF($C42="Bond",(('Demand Base Matrix'!J$55+'Demand Base Matrix'!J$59)*$AC$2*$AD$2*$AE$2+('Demand Base Matrix'!J$56+'Demand Base Matrix'!J$57)*$W$2*$AD$2+'Demand Base Matrix'!J$58*$W$2*$AD$2*$AE$2+'Demand Base Matrix'!J$60+'Demand Base Matrix'!J$61*$AF$2),IF($C42="Explore",('Demand Base Matrix'!J$82*$AC$2*$AD$2*$AE$2*$AF$2+'Demand Base Matrix'!J$83*$W$2*$AC$2*$AD$2*$AE$2*$AF$2+'Demand Base Matrix'!J$84)))))</f>
        <v>8</v>
      </c>
      <c r="AP42" s="5"/>
      <c r="AQ42" s="5"/>
      <c r="AR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</row>
    <row r="43" spans="1:95" x14ac:dyDescent="0.2">
      <c r="A43" t="s">
        <v>803</v>
      </c>
      <c r="B43" t="s">
        <v>212</v>
      </c>
      <c r="C43" t="s">
        <v>20</v>
      </c>
      <c r="D43" t="s">
        <v>44</v>
      </c>
      <c r="E43" t="s">
        <v>25</v>
      </c>
      <c r="F43" t="s">
        <v>799</v>
      </c>
      <c r="I43" t="str">
        <f>IFERROR(INDEX('Customer 360'!F:F,MATCH(B43,'Customer 360'!A:A,0)),"-")</f>
        <v>A</v>
      </c>
      <c r="J43">
        <v>360</v>
      </c>
      <c r="K43">
        <v>265</v>
      </c>
      <c r="L43" s="4">
        <v>46233</v>
      </c>
      <c r="M43" s="4">
        <v>46233</v>
      </c>
      <c r="N43">
        <v>2026</v>
      </c>
      <c r="O43" s="4">
        <v>46023</v>
      </c>
      <c r="P43" t="s">
        <v>217</v>
      </c>
      <c r="Q43" s="18">
        <f t="shared" si="0"/>
        <v>46023</v>
      </c>
      <c r="R43" s="18">
        <f>IFERROR(IF(M43&lt;&gt;"",M43,IF(L43&lt;&gt;"",L43,INDEX('CSM RDD'!B:B,MATCH(B43,'CSM RDD'!A:A,0)))),"-")</f>
        <v>46233</v>
      </c>
      <c r="S43" s="18">
        <f t="shared" si="7"/>
        <v>46023</v>
      </c>
      <c r="T43" s="18">
        <f t="shared" si="8"/>
        <v>46204</v>
      </c>
      <c r="U43" s="6">
        <f t="shared" si="9"/>
        <v>625</v>
      </c>
      <c r="V43" s="18">
        <f t="shared" si="18"/>
        <v>46023</v>
      </c>
      <c r="W43">
        <f>IF(U43=0,1,IF(U43&lt;='Demand Base Matrix'!$K$3,'Demand Base Matrix'!$L$3,IF(U43&lt;='Demand Base Matrix'!$K$4,'Demand Base Matrix'!$L$4,IF(U43&lt;='Demand Base Matrix'!$K$5,'Demand Base Matrix'!$L$5,IF(U43&lt;='Demand Base Matrix'!$K$6,'Demand Base Matrix'!$L$6,IF(U43&lt;='Demand Base Matrix'!$K$7,'Demand Base Matrix'!$L$7))))))</f>
        <v>0.75</v>
      </c>
      <c r="X43" s="4">
        <f t="shared" si="10"/>
        <v>46204</v>
      </c>
      <c r="Y43" t="str">
        <f t="shared" si="11"/>
        <v>Tx</v>
      </c>
      <c r="Z43" t="s">
        <v>685</v>
      </c>
      <c r="AA43" t="s">
        <v>685</v>
      </c>
      <c r="AB43" t="s">
        <v>685</v>
      </c>
      <c r="AC43">
        <f>IFERROR(INDEX('Demand Base Matrix'!AM:AM,MATCH(Y43,'Demand Base Matrix'!AL:AL,0)),"-")</f>
        <v>1.5</v>
      </c>
      <c r="AD43">
        <f>IFERROR(INDEX('Demand Base Matrix'!AO:AO,MATCH(Z43,'Demand Base Matrix'!AN:AN,0)),1)</f>
        <v>1</v>
      </c>
      <c r="AE43">
        <f>IFERROR(INDEX('Demand Base Matrix'!AQ:AQ,MATCH(AA43,'Demand Base Matrix'!AP:AP,0)),1)</f>
        <v>1</v>
      </c>
      <c r="AF43">
        <f>IFERROR(INDEX('Demand Base Matrix'!AS:AS,MATCH(AB43,'Demand Base Matrix'!AR:AR,0)),1)</f>
        <v>1</v>
      </c>
      <c r="AG43">
        <f>IF($C43="Validate",(('Demand Base Matrix'!D$2+'Demand Base Matrix'!D$6)*$AC$2*$AD$2*$AE$2+('Demand Base Matrix'!D$3+'Demand Base Matrix'!D$4)*$W$2*$AD$2+'Demand Base Matrix'!D$5*$W$2*$AD$2*$AE$2+'Demand Base Matrix'!D$7+'Demand Base Matrix'!D$8*$AF$2),IF($C43="Integrate",(('Demand Base Matrix'!D$28+'Demand Base Matrix'!D$32)*$AC$2*$AD$2*$AE$2+('Demand Base Matrix'!D$29+'Demand Base Matrix'!D$30)*$W$2*$AD$2+'Demand Base Matrix'!D$31*$W$2*$AD$2*$AE$2+'Demand Base Matrix'!D$33+'Demand Base Matrix'!D$34*$AF$2),IF($C43="Bond",(('Demand Base Matrix'!D$55+'Demand Base Matrix'!D$59)*$AC$2*$AD$2*$AE$2+('Demand Base Matrix'!D$56+'Demand Base Matrix'!D$57)*$W$2*$AD$2+'Demand Base Matrix'!D$58*$W$2*$AD$2*$AE$2+'Demand Base Matrix'!D$60+'Demand Base Matrix'!D$61*$AF$2),IF($C43="Explore",('Demand Base Matrix'!D$82*$AC$2*$AD$2*$AE$2*$AF$2+'Demand Base Matrix'!D$83*$W$2*$AC$2*$AD$2*$AE$2*$AF$2+'Demand Base Matrix'!D$84)))))</f>
        <v>15</v>
      </c>
      <c r="AH43">
        <f>IF($C43="Validate",(('Demand Base Matrix'!E$2+'Demand Base Matrix'!E$6)*$AC$2*$AD$2*$AE$2+('Demand Base Matrix'!E$3+'Demand Base Matrix'!E$4)*$W$2*$AD$2+'Demand Base Matrix'!E$5*$W$2*$AD$2*$AE$2+'Demand Base Matrix'!E$7+'Demand Base Matrix'!E$8*$AF$2),IF($C43="Integrate",(('Demand Base Matrix'!E$28+'Demand Base Matrix'!E$32)*$AC$2*$AD$2*$AE$2+('Demand Base Matrix'!E$29+'Demand Base Matrix'!E$30)*$W$2*$AD$2+'Demand Base Matrix'!E$31*$W$2*$AD$2*$AE$2+'Demand Base Matrix'!E$33+'Demand Base Matrix'!E$34*$AF$2),IF($C43="Bond",(('Demand Base Matrix'!E$55+'Demand Base Matrix'!E$59)*$AC$2*$AD$2*$AE$2+('Demand Base Matrix'!E$56+'Demand Base Matrix'!E$57)*$W$2*$AD$2+'Demand Base Matrix'!E$58*$W$2*$AD$2*$AE$2+'Demand Base Matrix'!E$60+'Demand Base Matrix'!E$61*$AF$2),IF($C43="Explore",('Demand Base Matrix'!E$82*$AC$2*$AD$2*$AE$2*$AF$2+'Demand Base Matrix'!E$83*$W$2*$AC$2*$AD$2*$AE$2*$AF$2+'Demand Base Matrix'!E$84)))))</f>
        <v>15</v>
      </c>
      <c r="AI43">
        <f>IF($C43="Validate",(('Demand Base Matrix'!F$2+'Demand Base Matrix'!F$6)*$AC$2*$AD$2*$AE$2+('Demand Base Matrix'!F$3+'Demand Base Matrix'!F$4)*$W$2*$AD$2+'Demand Base Matrix'!F$5*$W$2*$AD$2*$AE$2+'Demand Base Matrix'!F$7+'Demand Base Matrix'!F$8*$AF$2),IF($C43="Integrate",(('Demand Base Matrix'!F$28+'Demand Base Matrix'!F$32)*$AC$2*$AD$2*$AE$2+('Demand Base Matrix'!F$29+'Demand Base Matrix'!F$30)*$W$2*$AD$2+'Demand Base Matrix'!F$31*$W$2*$AD$2*$AE$2+'Demand Base Matrix'!F$33+'Demand Base Matrix'!F$34*$AF$2),IF($C43="Bond",(('Demand Base Matrix'!F$55+'Demand Base Matrix'!F$59)*$AC$2*$AD$2*$AE$2+('Demand Base Matrix'!F$56+'Demand Base Matrix'!F$57)*$W$2*$AD$2+'Demand Base Matrix'!F$58*$W$2*$AD$2*$AE$2+'Demand Base Matrix'!F$60+'Demand Base Matrix'!F$61*$AF$2),IF($C43="Explore",('Demand Base Matrix'!F$82*$AC$2*$AD$2*$AE$2*$AF$2+'Demand Base Matrix'!F$83*$W$2*$AC$2*$AD$2*$AE$2*$AF$2+'Demand Base Matrix'!F$84)))))</f>
        <v>7</v>
      </c>
      <c r="AJ43">
        <f>IF($C43="Validate",(('Demand Base Matrix'!G$2+'Demand Base Matrix'!G$6)*$AC$2*$AD$2*$AE$2+('Demand Base Matrix'!G$3+'Demand Base Matrix'!G$4)*$W$2*$AD$2+'Demand Base Matrix'!G$5*$W$2*$AD$2*$AE$2+'Demand Base Matrix'!G$7+'Demand Base Matrix'!G$8*$AF$2),IF($C43="Integrate",(('Demand Base Matrix'!G$28+'Demand Base Matrix'!G$32)*$AC$2*$AD$2*$AE$2+('Demand Base Matrix'!G$29+'Demand Base Matrix'!G$30)*$W$2*$AD$2+'Demand Base Matrix'!G$31*$W$2*$AD$2*$AE$2+'Demand Base Matrix'!G$33+'Demand Base Matrix'!G$34*$AF$2),IF($C43="Bond",(('Demand Base Matrix'!G$55+'Demand Base Matrix'!G$59)*$AC$2*$AD$2*$AE$2+('Demand Base Matrix'!G$56+'Demand Base Matrix'!G$57)*$W$2*$AD$2+'Demand Base Matrix'!G$58*$W$2*$AD$2*$AE$2+'Demand Base Matrix'!G$60+'Demand Base Matrix'!G$61*$AF$2),IF($C43="Explore",('Demand Base Matrix'!G$82*$AC$2*$AD$2*$AE$2*$AF$2+'Demand Base Matrix'!G$83*$W$2*$AC$2*$AD$2*$AE$2*$AF$2+'Demand Base Matrix'!G$84)))))</f>
        <v>40</v>
      </c>
      <c r="AK43">
        <f>IF($C43="Validate",(('Demand Base Matrix'!H$2+'Demand Base Matrix'!H$6)*$AC$2*$AD$2*$AE$2+('Demand Base Matrix'!H$3+'Demand Base Matrix'!H$4)*$W$2*$AD$2+'Demand Base Matrix'!H$5*$W$2*$AD$2*$AE$2+'Demand Base Matrix'!H$7+'Demand Base Matrix'!H$8*$AF$2),IF($C43="Integrate",(('Demand Base Matrix'!H$28+'Demand Base Matrix'!H$32)*$AC$2*$AD$2*$AE$2+('Demand Base Matrix'!H$29+'Demand Base Matrix'!H$30)*$W$2*$AD$2+'Demand Base Matrix'!H$31*$W$2*$AD$2*$AE$2+'Demand Base Matrix'!H$33+'Demand Base Matrix'!H$34*$AF$2),IF($C43="Bond",(('Demand Base Matrix'!H$55+'Demand Base Matrix'!H$59)*$AC$2*$AD$2*$AE$2+('Demand Base Matrix'!H$56+'Demand Base Matrix'!H$57)*$W$2*$AD$2+'Demand Base Matrix'!H$58*$W$2*$AD$2*$AE$2+'Demand Base Matrix'!H$60+'Demand Base Matrix'!H$61*$AF$2),IF($C43="Explore",('Demand Base Matrix'!H$82*$AC$2*$AD$2*$AE$2*$AF$2+'Demand Base Matrix'!H$83*$W$2*$AC$2*$AD$2*$AE$2*$AF$2+'Demand Base Matrix'!H$84)))))</f>
        <v>60</v>
      </c>
      <c r="AL43">
        <f>IF($C43="Validate",(('Demand Base Matrix'!I$2+'Demand Base Matrix'!I$6)*$AC$2*$AD$2*$AE$2+('Demand Base Matrix'!I$3+'Demand Base Matrix'!I$4)*$W$2*$AD$2+'Demand Base Matrix'!I$5*$W$2*$AD$2*$AE$2+'Demand Base Matrix'!I$7+'Demand Base Matrix'!I$8*$AF$2),IF($C43="Integrate",(('Demand Base Matrix'!I$28+'Demand Base Matrix'!I$32)*$AC$2*$AD$2*$AE$2+('Demand Base Matrix'!I$29+'Demand Base Matrix'!I$30)*$W$2*$AD$2+'Demand Base Matrix'!I$31*$W$2*$AD$2*$AE$2+'Demand Base Matrix'!I$33+'Demand Base Matrix'!I$34*$AF$2),IF($C43="Bond",(('Demand Base Matrix'!I$55+'Demand Base Matrix'!I$59)*$AC$2*$AD$2*$AE$2+('Demand Base Matrix'!I$56+'Demand Base Matrix'!I$57)*$W$2*$AD$2+'Demand Base Matrix'!I$58*$W$2*$AD$2*$AE$2+'Demand Base Matrix'!I$60+'Demand Base Matrix'!I$61*$AF$2),IF($C43="Explore",('Demand Base Matrix'!I$82*$AC$2*$AD$2*$AE$2*$AF$2+'Demand Base Matrix'!I$83*$W$2*$AC$2*$AD$2*$AE$2*$AF$2+'Demand Base Matrix'!I$84)))))</f>
        <v>10</v>
      </c>
      <c r="AM43">
        <f>IF($C43="Validate",(('Demand Base Matrix'!J$2+'Demand Base Matrix'!J$6)*$AC$2*$AD$2*$AE$2+('Demand Base Matrix'!J$3+'Demand Base Matrix'!J$4)*$W$2*$AD$2+'Demand Base Matrix'!J$5*$W$2*$AD$2*$AE$2+'Demand Base Matrix'!J$7+'Demand Base Matrix'!J$8*$AF$2),IF($C43="Integrate",(('Demand Base Matrix'!J$28+'Demand Base Matrix'!J$32)*$AC$2*$AD$2*$AE$2+('Demand Base Matrix'!J$29+'Demand Base Matrix'!J$30)*$W$2*$AD$2+'Demand Base Matrix'!J$31*$W$2*$AD$2*$AE$2+'Demand Base Matrix'!J$33+'Demand Base Matrix'!J$34*$AF$2),IF($C43="Bond",(('Demand Base Matrix'!J$55+'Demand Base Matrix'!J$59)*$AC$2*$AD$2*$AE$2+('Demand Base Matrix'!J$56+'Demand Base Matrix'!J$57)*$W$2*$AD$2+'Demand Base Matrix'!J$58*$W$2*$AD$2*$AE$2+'Demand Base Matrix'!J$60+'Demand Base Matrix'!J$61*$AF$2),IF($C43="Explore",('Demand Base Matrix'!J$82*$AC$2*$AD$2*$AE$2*$AF$2+'Demand Base Matrix'!J$83*$W$2*$AC$2*$AD$2*$AE$2*$AF$2+'Demand Base Matrix'!J$84)))))</f>
        <v>4</v>
      </c>
      <c r="AP43" s="5"/>
      <c r="AQ43" s="5"/>
      <c r="AR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</row>
    <row r="44" spans="1:95" x14ac:dyDescent="0.2">
      <c r="A44" t="s">
        <v>755</v>
      </c>
      <c r="B44" t="s">
        <v>73</v>
      </c>
      <c r="C44" t="s">
        <v>23</v>
      </c>
      <c r="D44" t="s">
        <v>179</v>
      </c>
      <c r="E44" t="s">
        <v>117</v>
      </c>
      <c r="F44" t="s">
        <v>187</v>
      </c>
      <c r="I44" t="str">
        <f>IFERROR(INDEX('Customer 360'!F:F,MATCH(B44,'Customer 360'!A:A,0)),"-")</f>
        <v>C</v>
      </c>
      <c r="J44">
        <v>1486</v>
      </c>
      <c r="K44"/>
      <c r="L44" s="4">
        <v>46272</v>
      </c>
      <c r="M44" s="4">
        <v>46272</v>
      </c>
      <c r="N44">
        <v>2026</v>
      </c>
      <c r="O44" s="4">
        <v>46023</v>
      </c>
      <c r="P44" t="s">
        <v>217</v>
      </c>
      <c r="Q44" s="18">
        <f t="shared" si="0"/>
        <v>46023</v>
      </c>
      <c r="R44" s="18">
        <f>IFERROR(IF(M44&lt;&gt;"",M44,IF(L44&lt;&gt;"",L44,INDEX('CSM RDD'!B:B,MATCH(B44,'CSM RDD'!A:A,0)))),"-")</f>
        <v>46272</v>
      </c>
      <c r="S44" s="18">
        <f t="shared" si="7"/>
        <v>46023</v>
      </c>
      <c r="T44" s="18">
        <f t="shared" si="8"/>
        <v>46266</v>
      </c>
      <c r="U44" s="6">
        <f t="shared" si="9"/>
        <v>1486</v>
      </c>
      <c r="V44" s="18">
        <f t="shared" si="18"/>
        <v>46082</v>
      </c>
      <c r="W44">
        <f>IF(U44=0,1,IF(U44&lt;='Demand Base Matrix'!$K$3,'Demand Base Matrix'!$L$3,IF(U44&lt;='Demand Base Matrix'!$K$4,'Demand Base Matrix'!$L$4,IF(U44&lt;='Demand Base Matrix'!$K$5,'Demand Base Matrix'!$L$5,IF(U44&lt;='Demand Base Matrix'!$K$6,'Demand Base Matrix'!$L$6,IF(U44&lt;='Demand Base Matrix'!$K$7,'Demand Base Matrix'!$L$7))))))</f>
        <v>1</v>
      </c>
      <c r="X44" s="4">
        <f t="shared" si="10"/>
        <v>46266</v>
      </c>
      <c r="Y44" t="str">
        <f t="shared" si="11"/>
        <v>Dx</v>
      </c>
      <c r="Z44" t="s">
        <v>685</v>
      </c>
      <c r="AA44" t="s">
        <v>685</v>
      </c>
      <c r="AB44" t="s">
        <v>685</v>
      </c>
      <c r="AC44">
        <f>IFERROR(INDEX('Demand Base Matrix'!AM:AM,MATCH(Y44,'Demand Base Matrix'!AL:AL,0)),"-")</f>
        <v>1</v>
      </c>
      <c r="AD44">
        <f>IFERROR(INDEX('Demand Base Matrix'!AO:AO,MATCH(Z44,'Demand Base Matrix'!AN:AN,0)),1)</f>
        <v>1</v>
      </c>
      <c r="AE44">
        <f>IFERROR(INDEX('Demand Base Matrix'!AQ:AQ,MATCH(AA44,'Demand Base Matrix'!AP:AP,0)),1)</f>
        <v>1</v>
      </c>
      <c r="AF44">
        <f>IFERROR(INDEX('Demand Base Matrix'!AS:AS,MATCH(AB44,'Demand Base Matrix'!AR:AR,0)),1)</f>
        <v>1</v>
      </c>
      <c r="AG44">
        <f>IF($C44="Validate",(('Demand Base Matrix'!D$2+'Demand Base Matrix'!D$6)*$AC$2*$AD$2*$AE$2+('Demand Base Matrix'!D$3+'Demand Base Matrix'!D$4)*$W$2*$AD$2+'Demand Base Matrix'!D$5*$W$2*$AD$2*$AE$2+'Demand Base Matrix'!D$7+'Demand Base Matrix'!D$8*$AF$2),IF($C44="Integrate",(('Demand Base Matrix'!D$28+'Demand Base Matrix'!D$32)*$AC$2*$AD$2*$AE$2+('Demand Base Matrix'!D$29+'Demand Base Matrix'!D$30)*$W$2*$AD$2+'Demand Base Matrix'!D$31*$W$2*$AD$2*$AE$2+'Demand Base Matrix'!D$33+'Demand Base Matrix'!D$34*$AF$2),IF($C44="Bond",(('Demand Base Matrix'!D$55+'Demand Base Matrix'!D$59)*$AC$2*$AD$2*$AE$2+('Demand Base Matrix'!D$56+'Demand Base Matrix'!D$57)*$W$2*$AD$2+'Demand Base Matrix'!D$58*$W$2*$AD$2*$AE$2+'Demand Base Matrix'!D$60+'Demand Base Matrix'!D$61*$AF$2),IF($C44="Explore",('Demand Base Matrix'!D$82*$AC$2*$AD$2*$AE$2*$AF$2+'Demand Base Matrix'!D$83*$W$2*$AC$2*$AD$2*$AE$2*$AF$2+'Demand Base Matrix'!D$84)))))</f>
        <v>10</v>
      </c>
      <c r="AH44">
        <f>IF($C44="Validate",(('Demand Base Matrix'!E$2+'Demand Base Matrix'!E$6)*$AC$2*$AD$2*$AE$2+('Demand Base Matrix'!E$3+'Demand Base Matrix'!E$4)*$W$2*$AD$2+'Demand Base Matrix'!E$5*$W$2*$AD$2*$AE$2+'Demand Base Matrix'!E$7+'Demand Base Matrix'!E$8*$AF$2),IF($C44="Integrate",(('Demand Base Matrix'!E$28+'Demand Base Matrix'!E$32)*$AC$2*$AD$2*$AE$2+('Demand Base Matrix'!E$29+'Demand Base Matrix'!E$30)*$W$2*$AD$2+'Demand Base Matrix'!E$31*$W$2*$AD$2*$AE$2+'Demand Base Matrix'!E$33+'Demand Base Matrix'!E$34*$AF$2),IF($C44="Bond",(('Demand Base Matrix'!E$55+'Demand Base Matrix'!E$59)*$AC$2*$AD$2*$AE$2+('Demand Base Matrix'!E$56+'Demand Base Matrix'!E$57)*$W$2*$AD$2+'Demand Base Matrix'!E$58*$W$2*$AD$2*$AE$2+'Demand Base Matrix'!E$60+'Demand Base Matrix'!E$61*$AF$2),IF($C44="Explore",('Demand Base Matrix'!E$82*$AC$2*$AD$2*$AE$2*$AF$2+'Demand Base Matrix'!E$83*$W$2*$AC$2*$AD$2*$AE$2*$AF$2+'Demand Base Matrix'!E$84)))))</f>
        <v>10</v>
      </c>
      <c r="AI44">
        <f>IF($C44="Validate",(('Demand Base Matrix'!F$2+'Demand Base Matrix'!F$6)*$AC$2*$AD$2*$AE$2+('Demand Base Matrix'!F$3+'Demand Base Matrix'!F$4)*$W$2*$AD$2+'Demand Base Matrix'!F$5*$W$2*$AD$2*$AE$2+'Demand Base Matrix'!F$7+'Demand Base Matrix'!F$8*$AF$2),IF($C44="Integrate",(('Demand Base Matrix'!F$28+'Demand Base Matrix'!F$32)*$AC$2*$AD$2*$AE$2+('Demand Base Matrix'!F$29+'Demand Base Matrix'!F$30)*$W$2*$AD$2+'Demand Base Matrix'!F$31*$W$2*$AD$2*$AE$2+'Demand Base Matrix'!F$33+'Demand Base Matrix'!F$34*$AF$2),IF($C44="Bond",(('Demand Base Matrix'!F$55+'Demand Base Matrix'!F$59)*$AC$2*$AD$2*$AE$2+('Demand Base Matrix'!F$56+'Demand Base Matrix'!F$57)*$W$2*$AD$2+'Demand Base Matrix'!F$58*$W$2*$AD$2*$AE$2+'Demand Base Matrix'!F$60+'Demand Base Matrix'!F$61*$AF$2),IF($C44="Explore",('Demand Base Matrix'!F$82*$AC$2*$AD$2*$AE$2*$AF$2+'Demand Base Matrix'!F$83*$W$2*$AC$2*$AD$2*$AE$2*$AF$2+'Demand Base Matrix'!F$84)))))</f>
        <v>10</v>
      </c>
      <c r="AJ44">
        <f>IF($C44="Validate",(('Demand Base Matrix'!G$2+'Demand Base Matrix'!G$6)*$AC$2*$AD$2*$AE$2+('Demand Base Matrix'!G$3+'Demand Base Matrix'!G$4)*$W$2*$AD$2+'Demand Base Matrix'!G$5*$W$2*$AD$2*$AE$2+'Demand Base Matrix'!G$7+'Demand Base Matrix'!G$8*$AF$2),IF($C44="Integrate",(('Demand Base Matrix'!G$28+'Demand Base Matrix'!G$32)*$AC$2*$AD$2*$AE$2+('Demand Base Matrix'!G$29+'Demand Base Matrix'!G$30)*$W$2*$AD$2+'Demand Base Matrix'!G$31*$W$2*$AD$2*$AE$2+'Demand Base Matrix'!G$33+'Demand Base Matrix'!G$34*$AF$2),IF($C44="Bond",(('Demand Base Matrix'!G$55+'Demand Base Matrix'!G$59)*$AC$2*$AD$2*$AE$2+('Demand Base Matrix'!G$56+'Demand Base Matrix'!G$57)*$W$2*$AD$2+'Demand Base Matrix'!G$58*$W$2*$AD$2*$AE$2+'Demand Base Matrix'!G$60+'Demand Base Matrix'!G$61*$AF$2),IF($C44="Explore",('Demand Base Matrix'!G$82*$AC$2*$AD$2*$AE$2*$AF$2+'Demand Base Matrix'!G$83*$W$2*$AC$2*$AD$2*$AE$2*$AF$2+'Demand Base Matrix'!G$84)))))</f>
        <v>50</v>
      </c>
      <c r="AK44">
        <f>IF($C44="Validate",(('Demand Base Matrix'!H$2+'Demand Base Matrix'!H$6)*$AC$2*$AD$2*$AE$2+('Demand Base Matrix'!H$3+'Demand Base Matrix'!H$4)*$W$2*$AD$2+'Demand Base Matrix'!H$5*$W$2*$AD$2*$AE$2+'Demand Base Matrix'!H$7+'Demand Base Matrix'!H$8*$AF$2),IF($C44="Integrate",(('Demand Base Matrix'!H$28+'Demand Base Matrix'!H$32)*$AC$2*$AD$2*$AE$2+('Demand Base Matrix'!H$29+'Demand Base Matrix'!H$30)*$W$2*$AD$2+'Demand Base Matrix'!H$31*$W$2*$AD$2*$AE$2+'Demand Base Matrix'!H$33+'Demand Base Matrix'!H$34*$AF$2),IF($C44="Bond",(('Demand Base Matrix'!H$55+'Demand Base Matrix'!H$59)*$AC$2*$AD$2*$AE$2+('Demand Base Matrix'!H$56+'Demand Base Matrix'!H$57)*$W$2*$AD$2+'Demand Base Matrix'!H$58*$W$2*$AD$2*$AE$2+'Demand Base Matrix'!H$60+'Demand Base Matrix'!H$61*$AF$2),IF($C44="Explore",('Demand Base Matrix'!H$82*$AC$2*$AD$2*$AE$2*$AF$2+'Demand Base Matrix'!H$83*$W$2*$AC$2*$AD$2*$AE$2*$AF$2+'Demand Base Matrix'!H$84)))))</f>
        <v>28</v>
      </c>
      <c r="AL44">
        <f>IF($C44="Validate",(('Demand Base Matrix'!I$2+'Demand Base Matrix'!I$6)*$AC$2*$AD$2*$AE$2+('Demand Base Matrix'!I$3+'Demand Base Matrix'!I$4)*$W$2*$AD$2+'Demand Base Matrix'!I$5*$W$2*$AD$2*$AE$2+'Demand Base Matrix'!I$7+'Demand Base Matrix'!I$8*$AF$2),IF($C44="Integrate",(('Demand Base Matrix'!I$28+'Demand Base Matrix'!I$32)*$AC$2*$AD$2*$AE$2+('Demand Base Matrix'!I$29+'Demand Base Matrix'!I$30)*$W$2*$AD$2+'Demand Base Matrix'!I$31*$W$2*$AD$2*$AE$2+'Demand Base Matrix'!I$33+'Demand Base Matrix'!I$34*$AF$2),IF($C44="Bond",(('Demand Base Matrix'!I$55+'Demand Base Matrix'!I$59)*$AC$2*$AD$2*$AE$2+('Demand Base Matrix'!I$56+'Demand Base Matrix'!I$57)*$W$2*$AD$2+'Demand Base Matrix'!I$58*$W$2*$AD$2*$AE$2+'Demand Base Matrix'!I$60+'Demand Base Matrix'!I$61*$AF$2),IF($C44="Explore",('Demand Base Matrix'!I$82*$AC$2*$AD$2*$AE$2*$AF$2+'Demand Base Matrix'!I$83*$W$2*$AC$2*$AD$2*$AE$2*$AF$2+'Demand Base Matrix'!I$84)))))</f>
        <v>8</v>
      </c>
      <c r="AM44">
        <f>IF($C44="Validate",(('Demand Base Matrix'!J$2+'Demand Base Matrix'!J$6)*$AC$2*$AD$2*$AE$2+('Demand Base Matrix'!J$3+'Demand Base Matrix'!J$4)*$W$2*$AD$2+'Demand Base Matrix'!J$5*$W$2*$AD$2*$AE$2+'Demand Base Matrix'!J$7+'Demand Base Matrix'!J$8*$AF$2),IF($C44="Integrate",(('Demand Base Matrix'!J$28+'Demand Base Matrix'!J$32)*$AC$2*$AD$2*$AE$2+('Demand Base Matrix'!J$29+'Demand Base Matrix'!J$30)*$W$2*$AD$2+'Demand Base Matrix'!J$31*$W$2*$AD$2*$AE$2+'Demand Base Matrix'!J$33+'Demand Base Matrix'!J$34*$AF$2),IF($C44="Bond",(('Demand Base Matrix'!J$55+'Demand Base Matrix'!J$59)*$AC$2*$AD$2*$AE$2+('Demand Base Matrix'!J$56+'Demand Base Matrix'!J$57)*$W$2*$AD$2+'Demand Base Matrix'!J$58*$W$2*$AD$2*$AE$2+'Demand Base Matrix'!J$60+'Demand Base Matrix'!J$61*$AF$2),IF($C44="Explore",('Demand Base Matrix'!J$82*$AC$2*$AD$2*$AE$2*$AF$2+'Demand Base Matrix'!J$83*$W$2*$AC$2*$AD$2*$AE$2*$AF$2+'Demand Base Matrix'!J$84)))))</f>
        <v>8</v>
      </c>
      <c r="AP44" s="5"/>
      <c r="AQ44" s="5"/>
      <c r="AR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</row>
    <row r="45" spans="1:95" x14ac:dyDescent="0.2">
      <c r="A45" t="s">
        <v>756</v>
      </c>
      <c r="B45" t="s">
        <v>706</v>
      </c>
      <c r="C45" t="s">
        <v>20</v>
      </c>
      <c r="D45" t="s">
        <v>69</v>
      </c>
      <c r="E45" t="s">
        <v>115</v>
      </c>
      <c r="F45" t="s">
        <v>800</v>
      </c>
      <c r="I45" t="str">
        <f>IFERROR(INDEX('Customer 360'!F:F,MATCH(B45,'Customer 360'!A:A,0)),"-")</f>
        <v>C</v>
      </c>
      <c r="J45">
        <v>250</v>
      </c>
      <c r="K45"/>
      <c r="L45" s="4">
        <v>46171</v>
      </c>
      <c r="M45" s="4">
        <v>46171</v>
      </c>
      <c r="N45">
        <v>2026</v>
      </c>
      <c r="O45" s="4">
        <v>46082</v>
      </c>
      <c r="P45" t="s">
        <v>217</v>
      </c>
      <c r="Q45" s="18">
        <f t="shared" si="0"/>
        <v>46082</v>
      </c>
      <c r="R45" s="18">
        <f>IFERROR(IF(M45&lt;&gt;"",M45,IF(L45&lt;&gt;"",L45,INDEX('CSM RDD'!B:B,MATCH(B45,'CSM RDD'!A:A,0)))),"-")</f>
        <v>46171</v>
      </c>
      <c r="S45" s="18">
        <f t="shared" si="7"/>
        <v>46082</v>
      </c>
      <c r="T45" s="18">
        <f t="shared" si="8"/>
        <v>46143</v>
      </c>
      <c r="U45" s="6">
        <f t="shared" si="9"/>
        <v>250</v>
      </c>
      <c r="V45" s="18">
        <f t="shared" si="18"/>
        <v>46082</v>
      </c>
      <c r="W45">
        <f>IF(U45=0,1,IF(U45&lt;='Demand Base Matrix'!$K$3,'Demand Base Matrix'!$L$3,IF(U45&lt;='Demand Base Matrix'!$K$4,'Demand Base Matrix'!$L$4,IF(U45&lt;='Demand Base Matrix'!$K$5,'Demand Base Matrix'!$L$5,IF(U45&lt;='Demand Base Matrix'!$K$6,'Demand Base Matrix'!$L$6,IF(U45&lt;='Demand Base Matrix'!$K$7,'Demand Base Matrix'!$L$7))))))</f>
        <v>0.75</v>
      </c>
      <c r="X45" s="4">
        <f t="shared" si="10"/>
        <v>46143</v>
      </c>
      <c r="Y45" t="str">
        <f t="shared" si="11"/>
        <v>Dx</v>
      </c>
      <c r="Z45" t="s">
        <v>220</v>
      </c>
      <c r="AA45" t="s">
        <v>220</v>
      </c>
      <c r="AB45" t="s">
        <v>220</v>
      </c>
      <c r="AC45">
        <f>IFERROR(INDEX('Demand Base Matrix'!AM:AM,MATCH(Y45,'Demand Base Matrix'!AL:AL,0)),"-")</f>
        <v>1</v>
      </c>
      <c r="AD45">
        <f>IFERROR(INDEX('Demand Base Matrix'!AO:AO,MATCH(Z45,'Demand Base Matrix'!AN:AN,0)),1)</f>
        <v>1</v>
      </c>
      <c r="AE45">
        <f>IFERROR(INDEX('Demand Base Matrix'!AQ:AQ,MATCH(AA45,'Demand Base Matrix'!AP:AP,0)),1)</f>
        <v>1</v>
      </c>
      <c r="AF45">
        <f>IFERROR(INDEX('Demand Base Matrix'!AS:AS,MATCH(AB45,'Demand Base Matrix'!AR:AR,0)),1)</f>
        <v>1</v>
      </c>
      <c r="AG45">
        <f>IF($C45="Validate",(('Demand Base Matrix'!D$2+'Demand Base Matrix'!D$6)*$AC$2*$AD$2*$AE$2+('Demand Base Matrix'!D$3+'Demand Base Matrix'!D$4)*$W$2*$AD$2+'Demand Base Matrix'!D$5*$W$2*$AD$2*$AE$2+'Demand Base Matrix'!D$7+'Demand Base Matrix'!D$8*$AF$2),IF($C45="Integrate",(('Demand Base Matrix'!D$28+'Demand Base Matrix'!D$32)*$AC$2*$AD$2*$AE$2+('Demand Base Matrix'!D$29+'Demand Base Matrix'!D$30)*$W$2*$AD$2+'Demand Base Matrix'!D$31*$W$2*$AD$2*$AE$2+'Demand Base Matrix'!D$33+'Demand Base Matrix'!D$34*$AF$2),IF($C45="Bond",(('Demand Base Matrix'!D$55+'Demand Base Matrix'!D$59)*$AC$2*$AD$2*$AE$2+('Demand Base Matrix'!D$56+'Demand Base Matrix'!D$57)*$W$2*$AD$2+'Demand Base Matrix'!D$58*$W$2*$AD$2*$AE$2+'Demand Base Matrix'!D$60+'Demand Base Matrix'!D$61*$AF$2),IF($C45="Explore",('Demand Base Matrix'!D$82*$AC$2*$AD$2*$AE$2*$AF$2+'Demand Base Matrix'!D$83*$W$2*$AC$2*$AD$2*$AE$2*$AF$2+'Demand Base Matrix'!D$84)))))</f>
        <v>15</v>
      </c>
      <c r="AH45">
        <f>IF($C45="Validate",(('Demand Base Matrix'!E$2+'Demand Base Matrix'!E$6)*$AC$2*$AD$2*$AE$2+('Demand Base Matrix'!E$3+'Demand Base Matrix'!E$4)*$W$2*$AD$2+'Demand Base Matrix'!E$5*$W$2*$AD$2*$AE$2+'Demand Base Matrix'!E$7+'Demand Base Matrix'!E$8*$AF$2),IF($C45="Integrate",(('Demand Base Matrix'!E$28+'Demand Base Matrix'!E$32)*$AC$2*$AD$2*$AE$2+('Demand Base Matrix'!E$29+'Demand Base Matrix'!E$30)*$W$2*$AD$2+'Demand Base Matrix'!E$31*$W$2*$AD$2*$AE$2+'Demand Base Matrix'!E$33+'Demand Base Matrix'!E$34*$AF$2),IF($C45="Bond",(('Demand Base Matrix'!E$55+'Demand Base Matrix'!E$59)*$AC$2*$AD$2*$AE$2+('Demand Base Matrix'!E$56+'Demand Base Matrix'!E$57)*$W$2*$AD$2+'Demand Base Matrix'!E$58*$W$2*$AD$2*$AE$2+'Demand Base Matrix'!E$60+'Demand Base Matrix'!E$61*$AF$2),IF($C45="Explore",('Demand Base Matrix'!E$82*$AC$2*$AD$2*$AE$2*$AF$2+'Demand Base Matrix'!E$83*$W$2*$AC$2*$AD$2*$AE$2*$AF$2+'Demand Base Matrix'!E$84)))))</f>
        <v>15</v>
      </c>
      <c r="AI45">
        <f>IF($C45="Validate",(('Demand Base Matrix'!F$2+'Demand Base Matrix'!F$6)*$AC$2*$AD$2*$AE$2+('Demand Base Matrix'!F$3+'Demand Base Matrix'!F$4)*$W$2*$AD$2+'Demand Base Matrix'!F$5*$W$2*$AD$2*$AE$2+'Demand Base Matrix'!F$7+'Demand Base Matrix'!F$8*$AF$2),IF($C45="Integrate",(('Demand Base Matrix'!F$28+'Demand Base Matrix'!F$32)*$AC$2*$AD$2*$AE$2+('Demand Base Matrix'!F$29+'Demand Base Matrix'!F$30)*$W$2*$AD$2+'Demand Base Matrix'!F$31*$W$2*$AD$2*$AE$2+'Demand Base Matrix'!F$33+'Demand Base Matrix'!F$34*$AF$2),IF($C45="Bond",(('Demand Base Matrix'!F$55+'Demand Base Matrix'!F$59)*$AC$2*$AD$2*$AE$2+('Demand Base Matrix'!F$56+'Demand Base Matrix'!F$57)*$W$2*$AD$2+'Demand Base Matrix'!F$58*$W$2*$AD$2*$AE$2+'Demand Base Matrix'!F$60+'Demand Base Matrix'!F$61*$AF$2),IF($C45="Explore",('Demand Base Matrix'!F$82*$AC$2*$AD$2*$AE$2*$AF$2+'Demand Base Matrix'!F$83*$W$2*$AC$2*$AD$2*$AE$2*$AF$2+'Demand Base Matrix'!F$84)))))</f>
        <v>7</v>
      </c>
      <c r="AJ45">
        <f>IF($C45="Validate",(('Demand Base Matrix'!G$2+'Demand Base Matrix'!G$6)*$AC$2*$AD$2*$AE$2+('Demand Base Matrix'!G$3+'Demand Base Matrix'!G$4)*$W$2*$AD$2+'Demand Base Matrix'!G$5*$W$2*$AD$2*$AE$2+'Demand Base Matrix'!G$7+'Demand Base Matrix'!G$8*$AF$2),IF($C45="Integrate",(('Demand Base Matrix'!G$28+'Demand Base Matrix'!G$32)*$AC$2*$AD$2*$AE$2+('Demand Base Matrix'!G$29+'Demand Base Matrix'!G$30)*$W$2*$AD$2+'Demand Base Matrix'!G$31*$W$2*$AD$2*$AE$2+'Demand Base Matrix'!G$33+'Demand Base Matrix'!G$34*$AF$2),IF($C45="Bond",(('Demand Base Matrix'!G$55+'Demand Base Matrix'!G$59)*$AC$2*$AD$2*$AE$2+('Demand Base Matrix'!G$56+'Demand Base Matrix'!G$57)*$W$2*$AD$2+'Demand Base Matrix'!G$58*$W$2*$AD$2*$AE$2+'Demand Base Matrix'!G$60+'Demand Base Matrix'!G$61*$AF$2),IF($C45="Explore",('Demand Base Matrix'!G$82*$AC$2*$AD$2*$AE$2*$AF$2+'Demand Base Matrix'!G$83*$W$2*$AC$2*$AD$2*$AE$2*$AF$2+'Demand Base Matrix'!G$84)))))</f>
        <v>40</v>
      </c>
      <c r="AK45">
        <f>IF($C45="Validate",(('Demand Base Matrix'!H$2+'Demand Base Matrix'!H$6)*$AC$2*$AD$2*$AE$2+('Demand Base Matrix'!H$3+'Demand Base Matrix'!H$4)*$W$2*$AD$2+'Demand Base Matrix'!H$5*$W$2*$AD$2*$AE$2+'Demand Base Matrix'!H$7+'Demand Base Matrix'!H$8*$AF$2),IF($C45="Integrate",(('Demand Base Matrix'!H$28+'Demand Base Matrix'!H$32)*$AC$2*$AD$2*$AE$2+('Demand Base Matrix'!H$29+'Demand Base Matrix'!H$30)*$W$2*$AD$2+'Demand Base Matrix'!H$31*$W$2*$AD$2*$AE$2+'Demand Base Matrix'!H$33+'Demand Base Matrix'!H$34*$AF$2),IF($C45="Bond",(('Demand Base Matrix'!H$55+'Demand Base Matrix'!H$59)*$AC$2*$AD$2*$AE$2+('Demand Base Matrix'!H$56+'Demand Base Matrix'!H$57)*$W$2*$AD$2+'Demand Base Matrix'!H$58*$W$2*$AD$2*$AE$2+'Demand Base Matrix'!H$60+'Demand Base Matrix'!H$61*$AF$2),IF($C45="Explore",('Demand Base Matrix'!H$82*$AC$2*$AD$2*$AE$2*$AF$2+'Demand Base Matrix'!H$83*$W$2*$AC$2*$AD$2*$AE$2*$AF$2+'Demand Base Matrix'!H$84)))))</f>
        <v>60</v>
      </c>
      <c r="AL45">
        <f>IF($C45="Validate",(('Demand Base Matrix'!I$2+'Demand Base Matrix'!I$6)*$AC$2*$AD$2*$AE$2+('Demand Base Matrix'!I$3+'Demand Base Matrix'!I$4)*$W$2*$AD$2+'Demand Base Matrix'!I$5*$W$2*$AD$2*$AE$2+'Demand Base Matrix'!I$7+'Demand Base Matrix'!I$8*$AF$2),IF($C45="Integrate",(('Demand Base Matrix'!I$28+'Demand Base Matrix'!I$32)*$AC$2*$AD$2*$AE$2+('Demand Base Matrix'!I$29+'Demand Base Matrix'!I$30)*$W$2*$AD$2+'Demand Base Matrix'!I$31*$W$2*$AD$2*$AE$2+'Demand Base Matrix'!I$33+'Demand Base Matrix'!I$34*$AF$2),IF($C45="Bond",(('Demand Base Matrix'!I$55+'Demand Base Matrix'!I$59)*$AC$2*$AD$2*$AE$2+('Demand Base Matrix'!I$56+'Demand Base Matrix'!I$57)*$W$2*$AD$2+'Demand Base Matrix'!I$58*$W$2*$AD$2*$AE$2+'Demand Base Matrix'!I$60+'Demand Base Matrix'!I$61*$AF$2),IF($C45="Explore",('Demand Base Matrix'!I$82*$AC$2*$AD$2*$AE$2*$AF$2+'Demand Base Matrix'!I$83*$W$2*$AC$2*$AD$2*$AE$2*$AF$2+'Demand Base Matrix'!I$84)))))</f>
        <v>10</v>
      </c>
      <c r="AM45">
        <f>IF($C45="Validate",(('Demand Base Matrix'!J$2+'Demand Base Matrix'!J$6)*$AC$2*$AD$2*$AE$2+('Demand Base Matrix'!J$3+'Demand Base Matrix'!J$4)*$W$2*$AD$2+'Demand Base Matrix'!J$5*$W$2*$AD$2*$AE$2+'Demand Base Matrix'!J$7+'Demand Base Matrix'!J$8*$AF$2),IF($C45="Integrate",(('Demand Base Matrix'!J$28+'Demand Base Matrix'!J$32)*$AC$2*$AD$2*$AE$2+('Demand Base Matrix'!J$29+'Demand Base Matrix'!J$30)*$W$2*$AD$2+'Demand Base Matrix'!J$31*$W$2*$AD$2*$AE$2+'Demand Base Matrix'!J$33+'Demand Base Matrix'!J$34*$AF$2),IF($C45="Bond",(('Demand Base Matrix'!J$55+'Demand Base Matrix'!J$59)*$AC$2*$AD$2*$AE$2+('Demand Base Matrix'!J$56+'Demand Base Matrix'!J$57)*$W$2*$AD$2+'Demand Base Matrix'!J$58*$W$2*$AD$2*$AE$2+'Demand Base Matrix'!J$60+'Demand Base Matrix'!J$61*$AF$2),IF($C45="Explore",('Demand Base Matrix'!J$82*$AC$2*$AD$2*$AE$2*$AF$2+'Demand Base Matrix'!J$83*$W$2*$AC$2*$AD$2*$AE$2*$AF$2+'Demand Base Matrix'!J$84)))))</f>
        <v>4</v>
      </c>
      <c r="AP45" s="5"/>
      <c r="AQ45" s="5"/>
      <c r="AR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</row>
    <row r="46" spans="1:95" x14ac:dyDescent="0.2">
      <c r="A46" t="s">
        <v>757</v>
      </c>
      <c r="B46" t="s">
        <v>195</v>
      </c>
      <c r="C46" t="s">
        <v>20</v>
      </c>
      <c r="D46" t="s">
        <v>825</v>
      </c>
      <c r="E46" t="s">
        <v>115</v>
      </c>
      <c r="F46" t="s">
        <v>51</v>
      </c>
      <c r="I46" t="str">
        <f>IFERROR(INDEX('Customer 360'!F:F,MATCH(B46,'Customer 360'!A:A,0)),"-")</f>
        <v>C</v>
      </c>
      <c r="J46">
        <v>1984</v>
      </c>
      <c r="K46">
        <v>0</v>
      </c>
      <c r="L46" s="4">
        <v>46261</v>
      </c>
      <c r="M46" s="4">
        <v>46261</v>
      </c>
      <c r="N46">
        <v>2026</v>
      </c>
      <c r="O46" s="4">
        <v>46023</v>
      </c>
      <c r="P46" t="s">
        <v>217</v>
      </c>
      <c r="Q46" s="18">
        <f t="shared" si="0"/>
        <v>46023</v>
      </c>
      <c r="R46" s="18">
        <f>IFERROR(IF(M46&lt;&gt;"",M46,IF(L46&lt;&gt;"",L46,INDEX('CSM RDD'!B:B,MATCH(B46,'CSM RDD'!A:A,0)))),"-")</f>
        <v>46261</v>
      </c>
      <c r="S46" s="18">
        <f t="shared" si="7"/>
        <v>46023</v>
      </c>
      <c r="T46" s="18">
        <f t="shared" si="8"/>
        <v>46235</v>
      </c>
      <c r="U46" s="6">
        <f t="shared" si="9"/>
        <v>1984</v>
      </c>
      <c r="V46" s="18">
        <f t="shared" si="18"/>
        <v>46023</v>
      </c>
      <c r="W46">
        <f>IF(U46=0,1,IF(U46&lt;='Demand Base Matrix'!$K$3,'Demand Base Matrix'!$L$3,IF(U46&lt;='Demand Base Matrix'!$K$4,'Demand Base Matrix'!$L$4,IF(U46&lt;='Demand Base Matrix'!$K$5,'Demand Base Matrix'!$L$5,IF(U46&lt;='Demand Base Matrix'!$K$6,'Demand Base Matrix'!$L$6,IF(U46&lt;='Demand Base Matrix'!$K$7,'Demand Base Matrix'!$L$7))))))</f>
        <v>1</v>
      </c>
      <c r="X46" s="4">
        <f t="shared" si="10"/>
        <v>46235</v>
      </c>
      <c r="Y46" t="str">
        <f t="shared" si="11"/>
        <v>Dx</v>
      </c>
      <c r="Z46" t="s">
        <v>685</v>
      </c>
      <c r="AA46" t="s">
        <v>685</v>
      </c>
      <c r="AB46" t="s">
        <v>685</v>
      </c>
      <c r="AC46">
        <f>IFERROR(INDEX('Demand Base Matrix'!AM:AM,MATCH(Y46,'Demand Base Matrix'!AL:AL,0)),"-")</f>
        <v>1</v>
      </c>
      <c r="AD46">
        <f>IFERROR(INDEX('Demand Base Matrix'!AO:AO,MATCH(Z46,'Demand Base Matrix'!AN:AN,0)),1)</f>
        <v>1</v>
      </c>
      <c r="AE46">
        <f>IFERROR(INDEX('Demand Base Matrix'!AQ:AQ,MATCH(AA46,'Demand Base Matrix'!AP:AP,0)),1)</f>
        <v>1</v>
      </c>
      <c r="AF46">
        <f>IFERROR(INDEX('Demand Base Matrix'!AS:AS,MATCH(AB46,'Demand Base Matrix'!AR:AR,0)),1)</f>
        <v>1</v>
      </c>
      <c r="AG46">
        <f>IF($C46="Validate",(('Demand Base Matrix'!D$2+'Demand Base Matrix'!D$6)*$AC$2*$AD$2*$AE$2+('Demand Base Matrix'!D$3+'Demand Base Matrix'!D$4)*$W$2*$AD$2+'Demand Base Matrix'!D$5*$W$2*$AD$2*$AE$2+'Demand Base Matrix'!D$7+'Demand Base Matrix'!D$8*$AF$2),IF($C46="Integrate",(('Demand Base Matrix'!D$28+'Demand Base Matrix'!D$32)*$AC$2*$AD$2*$AE$2+('Demand Base Matrix'!D$29+'Demand Base Matrix'!D$30)*$W$2*$AD$2+'Demand Base Matrix'!D$31*$W$2*$AD$2*$AE$2+'Demand Base Matrix'!D$33+'Demand Base Matrix'!D$34*$AF$2),IF($C46="Bond",(('Demand Base Matrix'!D$55+'Demand Base Matrix'!D$59)*$AC$2*$AD$2*$AE$2+('Demand Base Matrix'!D$56+'Demand Base Matrix'!D$57)*$W$2*$AD$2+'Demand Base Matrix'!D$58*$W$2*$AD$2*$AE$2+'Demand Base Matrix'!D$60+'Demand Base Matrix'!D$61*$AF$2),IF($C46="Explore",('Demand Base Matrix'!D$82*$AC$2*$AD$2*$AE$2*$AF$2+'Demand Base Matrix'!D$83*$W$2*$AC$2*$AD$2*$AE$2*$AF$2+'Demand Base Matrix'!D$84)))))</f>
        <v>15</v>
      </c>
      <c r="AH46">
        <f>IF($C46="Validate",(('Demand Base Matrix'!E$2+'Demand Base Matrix'!E$6)*$AC$2*$AD$2*$AE$2+('Demand Base Matrix'!E$3+'Demand Base Matrix'!E$4)*$W$2*$AD$2+'Demand Base Matrix'!E$5*$W$2*$AD$2*$AE$2+'Demand Base Matrix'!E$7+'Demand Base Matrix'!E$8*$AF$2),IF($C46="Integrate",(('Demand Base Matrix'!E$28+'Demand Base Matrix'!E$32)*$AC$2*$AD$2*$AE$2+('Demand Base Matrix'!E$29+'Demand Base Matrix'!E$30)*$W$2*$AD$2+'Demand Base Matrix'!E$31*$W$2*$AD$2*$AE$2+'Demand Base Matrix'!E$33+'Demand Base Matrix'!E$34*$AF$2),IF($C46="Bond",(('Demand Base Matrix'!E$55+'Demand Base Matrix'!E$59)*$AC$2*$AD$2*$AE$2+('Demand Base Matrix'!E$56+'Demand Base Matrix'!E$57)*$W$2*$AD$2+'Demand Base Matrix'!E$58*$W$2*$AD$2*$AE$2+'Demand Base Matrix'!E$60+'Demand Base Matrix'!E$61*$AF$2),IF($C46="Explore",('Demand Base Matrix'!E$82*$AC$2*$AD$2*$AE$2*$AF$2+'Demand Base Matrix'!E$83*$W$2*$AC$2*$AD$2*$AE$2*$AF$2+'Demand Base Matrix'!E$84)))))</f>
        <v>15</v>
      </c>
      <c r="AI46">
        <f>IF($C46="Validate",(('Demand Base Matrix'!F$2+'Demand Base Matrix'!F$6)*$AC$2*$AD$2*$AE$2+('Demand Base Matrix'!F$3+'Demand Base Matrix'!F$4)*$W$2*$AD$2+'Demand Base Matrix'!F$5*$W$2*$AD$2*$AE$2+'Demand Base Matrix'!F$7+'Demand Base Matrix'!F$8*$AF$2),IF($C46="Integrate",(('Demand Base Matrix'!F$28+'Demand Base Matrix'!F$32)*$AC$2*$AD$2*$AE$2+('Demand Base Matrix'!F$29+'Demand Base Matrix'!F$30)*$W$2*$AD$2+'Demand Base Matrix'!F$31*$W$2*$AD$2*$AE$2+'Demand Base Matrix'!F$33+'Demand Base Matrix'!F$34*$AF$2),IF($C46="Bond",(('Demand Base Matrix'!F$55+'Demand Base Matrix'!F$59)*$AC$2*$AD$2*$AE$2+('Demand Base Matrix'!F$56+'Demand Base Matrix'!F$57)*$W$2*$AD$2+'Demand Base Matrix'!F$58*$W$2*$AD$2*$AE$2+'Demand Base Matrix'!F$60+'Demand Base Matrix'!F$61*$AF$2),IF($C46="Explore",('Demand Base Matrix'!F$82*$AC$2*$AD$2*$AE$2*$AF$2+'Demand Base Matrix'!F$83*$W$2*$AC$2*$AD$2*$AE$2*$AF$2+'Demand Base Matrix'!F$84)))))</f>
        <v>7</v>
      </c>
      <c r="AJ46">
        <f>IF($C46="Validate",(('Demand Base Matrix'!G$2+'Demand Base Matrix'!G$6)*$AC$2*$AD$2*$AE$2+('Demand Base Matrix'!G$3+'Demand Base Matrix'!G$4)*$W$2*$AD$2+'Demand Base Matrix'!G$5*$W$2*$AD$2*$AE$2+'Demand Base Matrix'!G$7+'Demand Base Matrix'!G$8*$AF$2),IF($C46="Integrate",(('Demand Base Matrix'!G$28+'Demand Base Matrix'!G$32)*$AC$2*$AD$2*$AE$2+('Demand Base Matrix'!G$29+'Demand Base Matrix'!G$30)*$W$2*$AD$2+'Demand Base Matrix'!G$31*$W$2*$AD$2*$AE$2+'Demand Base Matrix'!G$33+'Demand Base Matrix'!G$34*$AF$2),IF($C46="Bond",(('Demand Base Matrix'!G$55+'Demand Base Matrix'!G$59)*$AC$2*$AD$2*$AE$2+('Demand Base Matrix'!G$56+'Demand Base Matrix'!G$57)*$W$2*$AD$2+'Demand Base Matrix'!G$58*$W$2*$AD$2*$AE$2+'Demand Base Matrix'!G$60+'Demand Base Matrix'!G$61*$AF$2),IF($C46="Explore",('Demand Base Matrix'!G$82*$AC$2*$AD$2*$AE$2*$AF$2+'Demand Base Matrix'!G$83*$W$2*$AC$2*$AD$2*$AE$2*$AF$2+'Demand Base Matrix'!G$84)))))</f>
        <v>40</v>
      </c>
      <c r="AK46">
        <f>IF($C46="Validate",(('Demand Base Matrix'!H$2+'Demand Base Matrix'!H$6)*$AC$2*$AD$2*$AE$2+('Demand Base Matrix'!H$3+'Demand Base Matrix'!H$4)*$W$2*$AD$2+'Demand Base Matrix'!H$5*$W$2*$AD$2*$AE$2+'Demand Base Matrix'!H$7+'Demand Base Matrix'!H$8*$AF$2),IF($C46="Integrate",(('Demand Base Matrix'!H$28+'Demand Base Matrix'!H$32)*$AC$2*$AD$2*$AE$2+('Demand Base Matrix'!H$29+'Demand Base Matrix'!H$30)*$W$2*$AD$2+'Demand Base Matrix'!H$31*$W$2*$AD$2*$AE$2+'Demand Base Matrix'!H$33+'Demand Base Matrix'!H$34*$AF$2),IF($C46="Bond",(('Demand Base Matrix'!H$55+'Demand Base Matrix'!H$59)*$AC$2*$AD$2*$AE$2+('Demand Base Matrix'!H$56+'Demand Base Matrix'!H$57)*$W$2*$AD$2+'Demand Base Matrix'!H$58*$W$2*$AD$2*$AE$2+'Demand Base Matrix'!H$60+'Demand Base Matrix'!H$61*$AF$2),IF($C46="Explore",('Demand Base Matrix'!H$82*$AC$2*$AD$2*$AE$2*$AF$2+'Demand Base Matrix'!H$83*$W$2*$AC$2*$AD$2*$AE$2*$AF$2+'Demand Base Matrix'!H$84)))))</f>
        <v>60</v>
      </c>
      <c r="AL46">
        <f>IF($C46="Validate",(('Demand Base Matrix'!I$2+'Demand Base Matrix'!I$6)*$AC$2*$AD$2*$AE$2+('Demand Base Matrix'!I$3+'Demand Base Matrix'!I$4)*$W$2*$AD$2+'Demand Base Matrix'!I$5*$W$2*$AD$2*$AE$2+'Demand Base Matrix'!I$7+'Demand Base Matrix'!I$8*$AF$2),IF($C46="Integrate",(('Demand Base Matrix'!I$28+'Demand Base Matrix'!I$32)*$AC$2*$AD$2*$AE$2+('Demand Base Matrix'!I$29+'Demand Base Matrix'!I$30)*$W$2*$AD$2+'Demand Base Matrix'!I$31*$W$2*$AD$2*$AE$2+'Demand Base Matrix'!I$33+'Demand Base Matrix'!I$34*$AF$2),IF($C46="Bond",(('Demand Base Matrix'!I$55+'Demand Base Matrix'!I$59)*$AC$2*$AD$2*$AE$2+('Demand Base Matrix'!I$56+'Demand Base Matrix'!I$57)*$W$2*$AD$2+'Demand Base Matrix'!I$58*$W$2*$AD$2*$AE$2+'Demand Base Matrix'!I$60+'Demand Base Matrix'!I$61*$AF$2),IF($C46="Explore",('Demand Base Matrix'!I$82*$AC$2*$AD$2*$AE$2*$AF$2+'Demand Base Matrix'!I$83*$W$2*$AC$2*$AD$2*$AE$2*$AF$2+'Demand Base Matrix'!I$84)))))</f>
        <v>10</v>
      </c>
      <c r="AM46">
        <f>IF($C46="Validate",(('Demand Base Matrix'!J$2+'Demand Base Matrix'!J$6)*$AC$2*$AD$2*$AE$2+('Demand Base Matrix'!J$3+'Demand Base Matrix'!J$4)*$W$2*$AD$2+'Demand Base Matrix'!J$5*$W$2*$AD$2*$AE$2+'Demand Base Matrix'!J$7+'Demand Base Matrix'!J$8*$AF$2),IF($C46="Integrate",(('Demand Base Matrix'!J$28+'Demand Base Matrix'!J$32)*$AC$2*$AD$2*$AE$2+('Demand Base Matrix'!J$29+'Demand Base Matrix'!J$30)*$W$2*$AD$2+'Demand Base Matrix'!J$31*$W$2*$AD$2*$AE$2+'Demand Base Matrix'!J$33+'Demand Base Matrix'!J$34*$AF$2),IF($C46="Bond",(('Demand Base Matrix'!J$55+'Demand Base Matrix'!J$59)*$AC$2*$AD$2*$AE$2+('Demand Base Matrix'!J$56+'Demand Base Matrix'!J$57)*$W$2*$AD$2+'Demand Base Matrix'!J$58*$W$2*$AD$2*$AE$2+'Demand Base Matrix'!J$60+'Demand Base Matrix'!J$61*$AF$2),IF($C46="Explore",('Demand Base Matrix'!J$82*$AC$2*$AD$2*$AE$2*$AF$2+'Demand Base Matrix'!J$83*$W$2*$AC$2*$AD$2*$AE$2*$AF$2+'Demand Base Matrix'!J$84)))))</f>
        <v>4</v>
      </c>
      <c r="AP46" s="5"/>
      <c r="AQ46" s="5"/>
      <c r="AR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</row>
    <row r="47" spans="1:95" x14ac:dyDescent="0.2">
      <c r="A47" t="s">
        <v>758</v>
      </c>
      <c r="B47" t="s">
        <v>75</v>
      </c>
      <c r="C47" t="s">
        <v>20</v>
      </c>
      <c r="D47" t="s">
        <v>60</v>
      </c>
      <c r="E47" t="s">
        <v>116</v>
      </c>
      <c r="F47" t="s">
        <v>187</v>
      </c>
      <c r="I47" t="str">
        <f>IFERROR(INDEX('Customer 360'!F:F,MATCH(B47,'Customer 360'!A:A,0)),"-")</f>
        <v>C</v>
      </c>
      <c r="J47">
        <v>933</v>
      </c>
      <c r="K47"/>
      <c r="L47" s="4">
        <v>46086</v>
      </c>
      <c r="M47" s="4">
        <v>46086</v>
      </c>
      <c r="N47">
        <v>2026</v>
      </c>
      <c r="O47" s="4">
        <v>45901</v>
      </c>
      <c r="P47" t="s">
        <v>217</v>
      </c>
      <c r="Q47" s="18">
        <f t="shared" si="0"/>
        <v>45901</v>
      </c>
      <c r="R47" s="18">
        <f>IFERROR(IF(M47&lt;&gt;"",M47,IF(L47&lt;&gt;"",L47,INDEX('CSM RDD'!B:B,MATCH(B47,'CSM RDD'!A:A,0)))),"-")</f>
        <v>46086</v>
      </c>
      <c r="S47" s="18">
        <f t="shared" si="7"/>
        <v>45901</v>
      </c>
      <c r="T47" s="18">
        <f t="shared" si="8"/>
        <v>46082</v>
      </c>
      <c r="U47" s="6">
        <f t="shared" si="9"/>
        <v>933</v>
      </c>
      <c r="V47" s="18">
        <f t="shared" si="18"/>
        <v>45901</v>
      </c>
      <c r="W47">
        <f>IF(U47=0,1,IF(U47&lt;='Demand Base Matrix'!$K$3,'Demand Base Matrix'!$L$3,IF(U47&lt;='Demand Base Matrix'!$K$4,'Demand Base Matrix'!$L$4,IF(U47&lt;='Demand Base Matrix'!$K$5,'Demand Base Matrix'!$L$5,IF(U47&lt;='Demand Base Matrix'!$K$6,'Demand Base Matrix'!$L$6,IF(U47&lt;='Demand Base Matrix'!$K$7,'Demand Base Matrix'!$L$7))))))</f>
        <v>0.75</v>
      </c>
      <c r="X47" s="4">
        <f t="shared" si="10"/>
        <v>46082</v>
      </c>
      <c r="Y47" t="str">
        <f t="shared" si="11"/>
        <v>Dx</v>
      </c>
      <c r="Z47" t="s">
        <v>684</v>
      </c>
      <c r="AA47" t="s">
        <v>685</v>
      </c>
      <c r="AB47" t="s">
        <v>685</v>
      </c>
      <c r="AC47">
        <f>IFERROR(INDEX('Demand Base Matrix'!AM:AM,MATCH(Y47,'Demand Base Matrix'!AL:AL,0)),"-")</f>
        <v>1</v>
      </c>
      <c r="AD47">
        <f>IFERROR(INDEX('Demand Base Matrix'!AO:AO,MATCH(Z47,'Demand Base Matrix'!AN:AN,0)),1)</f>
        <v>1.25</v>
      </c>
      <c r="AE47">
        <f>IFERROR(INDEX('Demand Base Matrix'!AQ:AQ,MATCH(AA47,'Demand Base Matrix'!AP:AP,0)),1)</f>
        <v>1</v>
      </c>
      <c r="AF47">
        <f>IFERROR(INDEX('Demand Base Matrix'!AS:AS,MATCH(AB47,'Demand Base Matrix'!AR:AR,0)),1)</f>
        <v>1</v>
      </c>
      <c r="AG47">
        <f>IF($C47="Validate",(('Demand Base Matrix'!D$2+'Demand Base Matrix'!D$6)*$AC$2*$AD$2*$AE$2+('Demand Base Matrix'!D$3+'Demand Base Matrix'!D$4)*$W$2*$AD$2+'Demand Base Matrix'!D$5*$W$2*$AD$2*$AE$2+'Demand Base Matrix'!D$7+'Demand Base Matrix'!D$8*$AF$2),IF($C47="Integrate",(('Demand Base Matrix'!D$28+'Demand Base Matrix'!D$32)*$AC$2*$AD$2*$AE$2+('Demand Base Matrix'!D$29+'Demand Base Matrix'!D$30)*$W$2*$AD$2+'Demand Base Matrix'!D$31*$W$2*$AD$2*$AE$2+'Demand Base Matrix'!D$33+'Demand Base Matrix'!D$34*$AF$2),IF($C47="Bond",(('Demand Base Matrix'!D$55+'Demand Base Matrix'!D$59)*$AC$2*$AD$2*$AE$2+('Demand Base Matrix'!D$56+'Demand Base Matrix'!D$57)*$W$2*$AD$2+'Demand Base Matrix'!D$58*$W$2*$AD$2*$AE$2+'Demand Base Matrix'!D$60+'Demand Base Matrix'!D$61*$AF$2),IF($C47="Explore",('Demand Base Matrix'!D$82*$AC$2*$AD$2*$AE$2*$AF$2+'Demand Base Matrix'!D$83*$W$2*$AC$2*$AD$2*$AE$2*$AF$2+'Demand Base Matrix'!D$84)))))</f>
        <v>15</v>
      </c>
      <c r="AH47">
        <f>IF($C47="Validate",(('Demand Base Matrix'!E$2+'Demand Base Matrix'!E$6)*$AC$2*$AD$2*$AE$2+('Demand Base Matrix'!E$3+'Demand Base Matrix'!E$4)*$W$2*$AD$2+'Demand Base Matrix'!E$5*$W$2*$AD$2*$AE$2+'Demand Base Matrix'!E$7+'Demand Base Matrix'!E$8*$AF$2),IF($C47="Integrate",(('Demand Base Matrix'!E$28+'Demand Base Matrix'!E$32)*$AC$2*$AD$2*$AE$2+('Demand Base Matrix'!E$29+'Demand Base Matrix'!E$30)*$W$2*$AD$2+'Demand Base Matrix'!E$31*$W$2*$AD$2*$AE$2+'Demand Base Matrix'!E$33+'Demand Base Matrix'!E$34*$AF$2),IF($C47="Bond",(('Demand Base Matrix'!E$55+'Demand Base Matrix'!E$59)*$AC$2*$AD$2*$AE$2+('Demand Base Matrix'!E$56+'Demand Base Matrix'!E$57)*$W$2*$AD$2+'Demand Base Matrix'!E$58*$W$2*$AD$2*$AE$2+'Demand Base Matrix'!E$60+'Demand Base Matrix'!E$61*$AF$2),IF($C47="Explore",('Demand Base Matrix'!E$82*$AC$2*$AD$2*$AE$2*$AF$2+'Demand Base Matrix'!E$83*$W$2*$AC$2*$AD$2*$AE$2*$AF$2+'Demand Base Matrix'!E$84)))))</f>
        <v>15</v>
      </c>
      <c r="AI47">
        <f>IF($C47="Validate",(('Demand Base Matrix'!F$2+'Demand Base Matrix'!F$6)*$AC$2*$AD$2*$AE$2+('Demand Base Matrix'!F$3+'Demand Base Matrix'!F$4)*$W$2*$AD$2+'Demand Base Matrix'!F$5*$W$2*$AD$2*$AE$2+'Demand Base Matrix'!F$7+'Demand Base Matrix'!F$8*$AF$2),IF($C47="Integrate",(('Demand Base Matrix'!F$28+'Demand Base Matrix'!F$32)*$AC$2*$AD$2*$AE$2+('Demand Base Matrix'!F$29+'Demand Base Matrix'!F$30)*$W$2*$AD$2+'Demand Base Matrix'!F$31*$W$2*$AD$2*$AE$2+'Demand Base Matrix'!F$33+'Demand Base Matrix'!F$34*$AF$2),IF($C47="Bond",(('Demand Base Matrix'!F$55+'Demand Base Matrix'!F$59)*$AC$2*$AD$2*$AE$2+('Demand Base Matrix'!F$56+'Demand Base Matrix'!F$57)*$W$2*$AD$2+'Demand Base Matrix'!F$58*$W$2*$AD$2*$AE$2+'Demand Base Matrix'!F$60+'Demand Base Matrix'!F$61*$AF$2),IF($C47="Explore",('Demand Base Matrix'!F$82*$AC$2*$AD$2*$AE$2*$AF$2+'Demand Base Matrix'!F$83*$W$2*$AC$2*$AD$2*$AE$2*$AF$2+'Demand Base Matrix'!F$84)))))</f>
        <v>7</v>
      </c>
      <c r="AJ47">
        <f>IF($C47="Validate",(('Demand Base Matrix'!G$2+'Demand Base Matrix'!G$6)*$AC$2*$AD$2*$AE$2+('Demand Base Matrix'!G$3+'Demand Base Matrix'!G$4)*$W$2*$AD$2+'Demand Base Matrix'!G$5*$W$2*$AD$2*$AE$2+'Demand Base Matrix'!G$7+'Demand Base Matrix'!G$8*$AF$2),IF($C47="Integrate",(('Demand Base Matrix'!G$28+'Demand Base Matrix'!G$32)*$AC$2*$AD$2*$AE$2+('Demand Base Matrix'!G$29+'Demand Base Matrix'!G$30)*$W$2*$AD$2+'Demand Base Matrix'!G$31*$W$2*$AD$2*$AE$2+'Demand Base Matrix'!G$33+'Demand Base Matrix'!G$34*$AF$2),IF($C47="Bond",(('Demand Base Matrix'!G$55+'Demand Base Matrix'!G$59)*$AC$2*$AD$2*$AE$2+('Demand Base Matrix'!G$56+'Demand Base Matrix'!G$57)*$W$2*$AD$2+'Demand Base Matrix'!G$58*$W$2*$AD$2*$AE$2+'Demand Base Matrix'!G$60+'Demand Base Matrix'!G$61*$AF$2),IF($C47="Explore",('Demand Base Matrix'!G$82*$AC$2*$AD$2*$AE$2*$AF$2+'Demand Base Matrix'!G$83*$W$2*$AC$2*$AD$2*$AE$2*$AF$2+'Demand Base Matrix'!G$84)))))</f>
        <v>40</v>
      </c>
      <c r="AK47">
        <f>IF($C47="Validate",(('Demand Base Matrix'!H$2+'Demand Base Matrix'!H$6)*$AC$2*$AD$2*$AE$2+('Demand Base Matrix'!H$3+'Demand Base Matrix'!H$4)*$W$2*$AD$2+'Demand Base Matrix'!H$5*$W$2*$AD$2*$AE$2+'Demand Base Matrix'!H$7+'Demand Base Matrix'!H$8*$AF$2),IF($C47="Integrate",(('Demand Base Matrix'!H$28+'Demand Base Matrix'!H$32)*$AC$2*$AD$2*$AE$2+('Demand Base Matrix'!H$29+'Demand Base Matrix'!H$30)*$W$2*$AD$2+'Demand Base Matrix'!H$31*$W$2*$AD$2*$AE$2+'Demand Base Matrix'!H$33+'Demand Base Matrix'!H$34*$AF$2),IF($C47="Bond",(('Demand Base Matrix'!H$55+'Demand Base Matrix'!H$59)*$AC$2*$AD$2*$AE$2+('Demand Base Matrix'!H$56+'Demand Base Matrix'!H$57)*$W$2*$AD$2+'Demand Base Matrix'!H$58*$W$2*$AD$2*$AE$2+'Demand Base Matrix'!H$60+'Demand Base Matrix'!H$61*$AF$2),IF($C47="Explore",('Demand Base Matrix'!H$82*$AC$2*$AD$2*$AE$2*$AF$2+'Demand Base Matrix'!H$83*$W$2*$AC$2*$AD$2*$AE$2*$AF$2+'Demand Base Matrix'!H$84)))))</f>
        <v>60</v>
      </c>
      <c r="AL47">
        <f>IF($C47="Validate",(('Demand Base Matrix'!I$2+'Demand Base Matrix'!I$6)*$AC$2*$AD$2*$AE$2+('Demand Base Matrix'!I$3+'Demand Base Matrix'!I$4)*$W$2*$AD$2+'Demand Base Matrix'!I$5*$W$2*$AD$2*$AE$2+'Demand Base Matrix'!I$7+'Demand Base Matrix'!I$8*$AF$2),IF($C47="Integrate",(('Demand Base Matrix'!I$28+'Demand Base Matrix'!I$32)*$AC$2*$AD$2*$AE$2+('Demand Base Matrix'!I$29+'Demand Base Matrix'!I$30)*$W$2*$AD$2+'Demand Base Matrix'!I$31*$W$2*$AD$2*$AE$2+'Demand Base Matrix'!I$33+'Demand Base Matrix'!I$34*$AF$2),IF($C47="Bond",(('Demand Base Matrix'!I$55+'Demand Base Matrix'!I$59)*$AC$2*$AD$2*$AE$2+('Demand Base Matrix'!I$56+'Demand Base Matrix'!I$57)*$W$2*$AD$2+'Demand Base Matrix'!I$58*$W$2*$AD$2*$AE$2+'Demand Base Matrix'!I$60+'Demand Base Matrix'!I$61*$AF$2),IF($C47="Explore",('Demand Base Matrix'!I$82*$AC$2*$AD$2*$AE$2*$AF$2+'Demand Base Matrix'!I$83*$W$2*$AC$2*$AD$2*$AE$2*$AF$2+'Demand Base Matrix'!I$84)))))</f>
        <v>10</v>
      </c>
      <c r="AM47">
        <f>IF($C47="Validate",(('Demand Base Matrix'!J$2+'Demand Base Matrix'!J$6)*$AC$2*$AD$2*$AE$2+('Demand Base Matrix'!J$3+'Demand Base Matrix'!J$4)*$W$2*$AD$2+'Demand Base Matrix'!J$5*$W$2*$AD$2*$AE$2+'Demand Base Matrix'!J$7+'Demand Base Matrix'!J$8*$AF$2),IF($C47="Integrate",(('Demand Base Matrix'!J$28+'Demand Base Matrix'!J$32)*$AC$2*$AD$2*$AE$2+('Demand Base Matrix'!J$29+'Demand Base Matrix'!J$30)*$W$2*$AD$2+'Demand Base Matrix'!J$31*$W$2*$AD$2*$AE$2+'Demand Base Matrix'!J$33+'Demand Base Matrix'!J$34*$AF$2),IF($C47="Bond",(('Demand Base Matrix'!J$55+'Demand Base Matrix'!J$59)*$AC$2*$AD$2*$AE$2+('Demand Base Matrix'!J$56+'Demand Base Matrix'!J$57)*$W$2*$AD$2+'Demand Base Matrix'!J$58*$W$2*$AD$2*$AE$2+'Demand Base Matrix'!J$60+'Demand Base Matrix'!J$61*$AF$2),IF($C47="Explore",('Demand Base Matrix'!J$82*$AC$2*$AD$2*$AE$2*$AF$2+'Demand Base Matrix'!J$83*$W$2*$AC$2*$AD$2*$AE$2*$AF$2+'Demand Base Matrix'!J$84)))))</f>
        <v>4</v>
      </c>
      <c r="AP47" s="5"/>
      <c r="AQ47" s="5"/>
      <c r="AR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</row>
    <row r="48" spans="1:95" x14ac:dyDescent="0.2">
      <c r="A48" t="s">
        <v>759</v>
      </c>
      <c r="B48" t="s">
        <v>76</v>
      </c>
      <c r="C48" t="s">
        <v>23</v>
      </c>
      <c r="D48" t="s">
        <v>178</v>
      </c>
      <c r="E48" t="s">
        <v>115</v>
      </c>
      <c r="F48" t="s">
        <v>51</v>
      </c>
      <c r="I48" t="str">
        <f>IFERROR(INDEX('Customer 360'!F:F,MATCH(B48,'Customer 360'!A:A,0)),"-")</f>
        <v>C</v>
      </c>
      <c r="J48">
        <v>2000</v>
      </c>
      <c r="K48">
        <v>0</v>
      </c>
      <c r="L48" s="4">
        <v>46188</v>
      </c>
      <c r="M48" s="4">
        <v>46188</v>
      </c>
      <c r="N48">
        <v>2026</v>
      </c>
      <c r="O48" s="4">
        <v>46023</v>
      </c>
      <c r="P48" t="s">
        <v>217</v>
      </c>
      <c r="Q48" s="18">
        <f t="shared" si="0"/>
        <v>46023</v>
      </c>
      <c r="R48" s="18">
        <f>IFERROR(IF(M48&lt;&gt;"",M48,IF(L48&lt;&gt;"",L48,INDEX('CSM RDD'!B:B,MATCH(B48,'CSM RDD'!A:A,0)))),"-")</f>
        <v>46188</v>
      </c>
      <c r="S48" s="18">
        <f t="shared" si="7"/>
        <v>46023</v>
      </c>
      <c r="T48" s="18">
        <f t="shared" si="8"/>
        <v>46174</v>
      </c>
      <c r="U48" s="6">
        <f t="shared" si="9"/>
        <v>2000</v>
      </c>
      <c r="V48" s="18">
        <f t="shared" si="18"/>
        <v>46082</v>
      </c>
      <c r="W48">
        <f>IF(U48=0,1,IF(U48&lt;='Demand Base Matrix'!$K$3,'Demand Base Matrix'!$L$3,IF(U48&lt;='Demand Base Matrix'!$K$4,'Demand Base Matrix'!$L$4,IF(U48&lt;='Demand Base Matrix'!$K$5,'Demand Base Matrix'!$L$5,IF(U48&lt;='Demand Base Matrix'!$K$6,'Demand Base Matrix'!$L$6,IF(U48&lt;='Demand Base Matrix'!$K$7,'Demand Base Matrix'!$L$7))))))</f>
        <v>1</v>
      </c>
      <c r="X48" s="4">
        <f t="shared" si="10"/>
        <v>46174</v>
      </c>
      <c r="Y48" t="str">
        <f t="shared" si="11"/>
        <v>Dx</v>
      </c>
      <c r="Z48" t="s">
        <v>685</v>
      </c>
      <c r="AA48" t="s">
        <v>685</v>
      </c>
      <c r="AB48" t="s">
        <v>685</v>
      </c>
      <c r="AC48">
        <f>IFERROR(INDEX('Demand Base Matrix'!AM:AM,MATCH(Y48,'Demand Base Matrix'!AL:AL,0)),"-")</f>
        <v>1</v>
      </c>
      <c r="AD48">
        <f>IFERROR(INDEX('Demand Base Matrix'!AO:AO,MATCH(Z48,'Demand Base Matrix'!AN:AN,0)),1)</f>
        <v>1</v>
      </c>
      <c r="AE48">
        <f>IFERROR(INDEX('Demand Base Matrix'!AQ:AQ,MATCH(AA48,'Demand Base Matrix'!AP:AP,0)),1)</f>
        <v>1</v>
      </c>
      <c r="AF48">
        <f>IFERROR(INDEX('Demand Base Matrix'!AS:AS,MATCH(AB48,'Demand Base Matrix'!AR:AR,0)),1)</f>
        <v>1</v>
      </c>
      <c r="AG48">
        <f>IF($C48="Validate",(('Demand Base Matrix'!D$2+'Demand Base Matrix'!D$6)*$AC$2*$AD$2*$AE$2+('Demand Base Matrix'!D$3+'Demand Base Matrix'!D$4)*$W$2*$AD$2+'Demand Base Matrix'!D$5*$W$2*$AD$2*$AE$2+'Demand Base Matrix'!D$7+'Demand Base Matrix'!D$8*$AF$2),IF($C48="Integrate",(('Demand Base Matrix'!D$28+'Demand Base Matrix'!D$32)*$AC$2*$AD$2*$AE$2+('Demand Base Matrix'!D$29+'Demand Base Matrix'!D$30)*$W$2*$AD$2+'Demand Base Matrix'!D$31*$W$2*$AD$2*$AE$2+'Demand Base Matrix'!D$33+'Demand Base Matrix'!D$34*$AF$2),IF($C48="Bond",(('Demand Base Matrix'!D$55+'Demand Base Matrix'!D$59)*$AC$2*$AD$2*$AE$2+('Demand Base Matrix'!D$56+'Demand Base Matrix'!D$57)*$W$2*$AD$2+'Demand Base Matrix'!D$58*$W$2*$AD$2*$AE$2+'Demand Base Matrix'!D$60+'Demand Base Matrix'!D$61*$AF$2),IF($C48="Explore",('Demand Base Matrix'!D$82*$AC$2*$AD$2*$AE$2*$AF$2+'Demand Base Matrix'!D$83*$W$2*$AC$2*$AD$2*$AE$2*$AF$2+'Demand Base Matrix'!D$84)))))</f>
        <v>10</v>
      </c>
      <c r="AH48">
        <f>IF($C48="Validate",(('Demand Base Matrix'!E$2+'Demand Base Matrix'!E$6)*$AC$2*$AD$2*$AE$2+('Demand Base Matrix'!E$3+'Demand Base Matrix'!E$4)*$W$2*$AD$2+'Demand Base Matrix'!E$5*$W$2*$AD$2*$AE$2+'Demand Base Matrix'!E$7+'Demand Base Matrix'!E$8*$AF$2),IF($C48="Integrate",(('Demand Base Matrix'!E$28+'Demand Base Matrix'!E$32)*$AC$2*$AD$2*$AE$2+('Demand Base Matrix'!E$29+'Demand Base Matrix'!E$30)*$W$2*$AD$2+'Demand Base Matrix'!E$31*$W$2*$AD$2*$AE$2+'Demand Base Matrix'!E$33+'Demand Base Matrix'!E$34*$AF$2),IF($C48="Bond",(('Demand Base Matrix'!E$55+'Demand Base Matrix'!E$59)*$AC$2*$AD$2*$AE$2+('Demand Base Matrix'!E$56+'Demand Base Matrix'!E$57)*$W$2*$AD$2+'Demand Base Matrix'!E$58*$W$2*$AD$2*$AE$2+'Demand Base Matrix'!E$60+'Demand Base Matrix'!E$61*$AF$2),IF($C48="Explore",('Demand Base Matrix'!E$82*$AC$2*$AD$2*$AE$2*$AF$2+'Demand Base Matrix'!E$83*$W$2*$AC$2*$AD$2*$AE$2*$AF$2+'Demand Base Matrix'!E$84)))))</f>
        <v>10</v>
      </c>
      <c r="AI48">
        <f>IF($C48="Validate",(('Demand Base Matrix'!F$2+'Demand Base Matrix'!F$6)*$AC$2*$AD$2*$AE$2+('Demand Base Matrix'!F$3+'Demand Base Matrix'!F$4)*$W$2*$AD$2+'Demand Base Matrix'!F$5*$W$2*$AD$2*$AE$2+'Demand Base Matrix'!F$7+'Demand Base Matrix'!F$8*$AF$2),IF($C48="Integrate",(('Demand Base Matrix'!F$28+'Demand Base Matrix'!F$32)*$AC$2*$AD$2*$AE$2+('Demand Base Matrix'!F$29+'Demand Base Matrix'!F$30)*$W$2*$AD$2+'Demand Base Matrix'!F$31*$W$2*$AD$2*$AE$2+'Demand Base Matrix'!F$33+'Demand Base Matrix'!F$34*$AF$2),IF($C48="Bond",(('Demand Base Matrix'!F$55+'Demand Base Matrix'!F$59)*$AC$2*$AD$2*$AE$2+('Demand Base Matrix'!F$56+'Demand Base Matrix'!F$57)*$W$2*$AD$2+'Demand Base Matrix'!F$58*$W$2*$AD$2*$AE$2+'Demand Base Matrix'!F$60+'Demand Base Matrix'!F$61*$AF$2),IF($C48="Explore",('Demand Base Matrix'!F$82*$AC$2*$AD$2*$AE$2*$AF$2+'Demand Base Matrix'!F$83*$W$2*$AC$2*$AD$2*$AE$2*$AF$2+'Demand Base Matrix'!F$84)))))</f>
        <v>10</v>
      </c>
      <c r="AJ48">
        <f>IF($C48="Validate",(('Demand Base Matrix'!G$2+'Demand Base Matrix'!G$6)*$AC$2*$AD$2*$AE$2+('Demand Base Matrix'!G$3+'Demand Base Matrix'!G$4)*$W$2*$AD$2+'Demand Base Matrix'!G$5*$W$2*$AD$2*$AE$2+'Demand Base Matrix'!G$7+'Demand Base Matrix'!G$8*$AF$2),IF($C48="Integrate",(('Demand Base Matrix'!G$28+'Demand Base Matrix'!G$32)*$AC$2*$AD$2*$AE$2+('Demand Base Matrix'!G$29+'Demand Base Matrix'!G$30)*$W$2*$AD$2+'Demand Base Matrix'!G$31*$W$2*$AD$2*$AE$2+'Demand Base Matrix'!G$33+'Demand Base Matrix'!G$34*$AF$2),IF($C48="Bond",(('Demand Base Matrix'!G$55+'Demand Base Matrix'!G$59)*$AC$2*$AD$2*$AE$2+('Demand Base Matrix'!G$56+'Demand Base Matrix'!G$57)*$W$2*$AD$2+'Demand Base Matrix'!G$58*$W$2*$AD$2*$AE$2+'Demand Base Matrix'!G$60+'Demand Base Matrix'!G$61*$AF$2),IF($C48="Explore",('Demand Base Matrix'!G$82*$AC$2*$AD$2*$AE$2*$AF$2+'Demand Base Matrix'!G$83*$W$2*$AC$2*$AD$2*$AE$2*$AF$2+'Demand Base Matrix'!G$84)))))</f>
        <v>50</v>
      </c>
      <c r="AK48">
        <f>IF($C48="Validate",(('Demand Base Matrix'!H$2+'Demand Base Matrix'!H$6)*$AC$2*$AD$2*$AE$2+('Demand Base Matrix'!H$3+'Demand Base Matrix'!H$4)*$W$2*$AD$2+'Demand Base Matrix'!H$5*$W$2*$AD$2*$AE$2+'Demand Base Matrix'!H$7+'Demand Base Matrix'!H$8*$AF$2),IF($C48="Integrate",(('Demand Base Matrix'!H$28+'Demand Base Matrix'!H$32)*$AC$2*$AD$2*$AE$2+('Demand Base Matrix'!H$29+'Demand Base Matrix'!H$30)*$W$2*$AD$2+'Demand Base Matrix'!H$31*$W$2*$AD$2*$AE$2+'Demand Base Matrix'!H$33+'Demand Base Matrix'!H$34*$AF$2),IF($C48="Bond",(('Demand Base Matrix'!H$55+'Demand Base Matrix'!H$59)*$AC$2*$AD$2*$AE$2+('Demand Base Matrix'!H$56+'Demand Base Matrix'!H$57)*$W$2*$AD$2+'Demand Base Matrix'!H$58*$W$2*$AD$2*$AE$2+'Demand Base Matrix'!H$60+'Demand Base Matrix'!H$61*$AF$2),IF($C48="Explore",('Demand Base Matrix'!H$82*$AC$2*$AD$2*$AE$2*$AF$2+'Demand Base Matrix'!H$83*$W$2*$AC$2*$AD$2*$AE$2*$AF$2+'Demand Base Matrix'!H$84)))))</f>
        <v>28</v>
      </c>
      <c r="AL48">
        <f>IF($C48="Validate",(('Demand Base Matrix'!I$2+'Demand Base Matrix'!I$6)*$AC$2*$AD$2*$AE$2+('Demand Base Matrix'!I$3+'Demand Base Matrix'!I$4)*$W$2*$AD$2+'Demand Base Matrix'!I$5*$W$2*$AD$2*$AE$2+'Demand Base Matrix'!I$7+'Demand Base Matrix'!I$8*$AF$2),IF($C48="Integrate",(('Demand Base Matrix'!I$28+'Demand Base Matrix'!I$32)*$AC$2*$AD$2*$AE$2+('Demand Base Matrix'!I$29+'Demand Base Matrix'!I$30)*$W$2*$AD$2+'Demand Base Matrix'!I$31*$W$2*$AD$2*$AE$2+'Demand Base Matrix'!I$33+'Demand Base Matrix'!I$34*$AF$2),IF($C48="Bond",(('Demand Base Matrix'!I$55+'Demand Base Matrix'!I$59)*$AC$2*$AD$2*$AE$2+('Demand Base Matrix'!I$56+'Demand Base Matrix'!I$57)*$W$2*$AD$2+'Demand Base Matrix'!I$58*$W$2*$AD$2*$AE$2+'Demand Base Matrix'!I$60+'Demand Base Matrix'!I$61*$AF$2),IF($C48="Explore",('Demand Base Matrix'!I$82*$AC$2*$AD$2*$AE$2*$AF$2+'Demand Base Matrix'!I$83*$W$2*$AC$2*$AD$2*$AE$2*$AF$2+'Demand Base Matrix'!I$84)))))</f>
        <v>8</v>
      </c>
      <c r="AM48">
        <f>IF($C48="Validate",(('Demand Base Matrix'!J$2+'Demand Base Matrix'!J$6)*$AC$2*$AD$2*$AE$2+('Demand Base Matrix'!J$3+'Demand Base Matrix'!J$4)*$W$2*$AD$2+'Demand Base Matrix'!J$5*$W$2*$AD$2*$AE$2+'Demand Base Matrix'!J$7+'Demand Base Matrix'!J$8*$AF$2),IF($C48="Integrate",(('Demand Base Matrix'!J$28+'Demand Base Matrix'!J$32)*$AC$2*$AD$2*$AE$2+('Demand Base Matrix'!J$29+'Demand Base Matrix'!J$30)*$W$2*$AD$2+'Demand Base Matrix'!J$31*$W$2*$AD$2*$AE$2+'Demand Base Matrix'!J$33+'Demand Base Matrix'!J$34*$AF$2),IF($C48="Bond",(('Demand Base Matrix'!J$55+'Demand Base Matrix'!J$59)*$AC$2*$AD$2*$AE$2+('Demand Base Matrix'!J$56+'Demand Base Matrix'!J$57)*$W$2*$AD$2+'Demand Base Matrix'!J$58*$W$2*$AD$2*$AE$2+'Demand Base Matrix'!J$60+'Demand Base Matrix'!J$61*$AF$2),IF($C48="Explore",('Demand Base Matrix'!J$82*$AC$2*$AD$2*$AE$2*$AF$2+'Demand Base Matrix'!J$83*$W$2*$AC$2*$AD$2*$AE$2*$AF$2+'Demand Base Matrix'!J$84)))))</f>
        <v>8</v>
      </c>
      <c r="AP48" s="5"/>
      <c r="AQ48" s="5"/>
      <c r="AR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</row>
    <row r="49" spans="1:95" x14ac:dyDescent="0.2">
      <c r="A49" t="s">
        <v>760</v>
      </c>
      <c r="B49" t="s">
        <v>77</v>
      </c>
      <c r="C49" t="s">
        <v>23</v>
      </c>
      <c r="D49" t="s">
        <v>179</v>
      </c>
      <c r="E49" t="s">
        <v>207</v>
      </c>
      <c r="F49" t="s">
        <v>93</v>
      </c>
      <c r="I49" t="str">
        <f>IFERROR(INDEX('Customer 360'!F:F,MATCH(B49,'Customer 360'!A:A,0)),"-")</f>
        <v>C</v>
      </c>
      <c r="J49">
        <v>1178</v>
      </c>
      <c r="K49">
        <v>0</v>
      </c>
      <c r="L49" s="4">
        <v>46283</v>
      </c>
      <c r="M49" s="4">
        <v>46283</v>
      </c>
      <c r="N49">
        <v>2026</v>
      </c>
      <c r="O49" s="4">
        <v>46023</v>
      </c>
      <c r="P49" t="s">
        <v>217</v>
      </c>
      <c r="Q49" s="18">
        <f t="shared" si="0"/>
        <v>46023</v>
      </c>
      <c r="R49" s="18">
        <f>IFERROR(IF(M49&lt;&gt;"",M49,IF(L49&lt;&gt;"",L49,INDEX('CSM RDD'!B:B,MATCH(B49,'CSM RDD'!A:A,0)))),"-")</f>
        <v>46283</v>
      </c>
      <c r="S49" s="18">
        <f t="shared" si="7"/>
        <v>46023</v>
      </c>
      <c r="T49" s="18">
        <f t="shared" si="8"/>
        <v>46266</v>
      </c>
      <c r="U49" s="6">
        <f t="shared" si="9"/>
        <v>1178</v>
      </c>
      <c r="V49" s="18">
        <f t="shared" si="18"/>
        <v>46082</v>
      </c>
      <c r="W49">
        <f>IF(U49=0,1,IF(U49&lt;='Demand Base Matrix'!$K$3,'Demand Base Matrix'!$L$3,IF(U49&lt;='Demand Base Matrix'!$K$4,'Demand Base Matrix'!$L$4,IF(U49&lt;='Demand Base Matrix'!$K$5,'Demand Base Matrix'!$L$5,IF(U49&lt;='Demand Base Matrix'!$K$6,'Demand Base Matrix'!$L$6,IF(U49&lt;='Demand Base Matrix'!$K$7,'Demand Base Matrix'!$L$7))))))</f>
        <v>1</v>
      </c>
      <c r="X49" s="4">
        <f t="shared" si="10"/>
        <v>46266</v>
      </c>
      <c r="Y49" t="str">
        <f t="shared" si="11"/>
        <v>Dx</v>
      </c>
      <c r="Z49" t="s">
        <v>685</v>
      </c>
      <c r="AA49" t="s">
        <v>685</v>
      </c>
      <c r="AB49" t="s">
        <v>685</v>
      </c>
      <c r="AC49">
        <f>IFERROR(INDEX('Demand Base Matrix'!AM:AM,MATCH(Y49,'Demand Base Matrix'!AL:AL,0)),"-")</f>
        <v>1</v>
      </c>
      <c r="AD49">
        <f>IFERROR(INDEX('Demand Base Matrix'!AO:AO,MATCH(Z49,'Demand Base Matrix'!AN:AN,0)),1)</f>
        <v>1</v>
      </c>
      <c r="AE49">
        <f>IFERROR(INDEX('Demand Base Matrix'!AQ:AQ,MATCH(AA49,'Demand Base Matrix'!AP:AP,0)),1)</f>
        <v>1</v>
      </c>
      <c r="AF49">
        <f>IFERROR(INDEX('Demand Base Matrix'!AS:AS,MATCH(AB49,'Demand Base Matrix'!AR:AR,0)),1)</f>
        <v>1</v>
      </c>
      <c r="AG49">
        <f>IF($C49="Validate",(('Demand Base Matrix'!D$2+'Demand Base Matrix'!D$6)*$AC$2*$AD$2*$AE$2+('Demand Base Matrix'!D$3+'Demand Base Matrix'!D$4)*$W$2*$AD$2+'Demand Base Matrix'!D$5*$W$2*$AD$2*$AE$2+'Demand Base Matrix'!D$7+'Demand Base Matrix'!D$8*$AF$2),IF($C49="Integrate",(('Demand Base Matrix'!D$28+'Demand Base Matrix'!D$32)*$AC$2*$AD$2*$AE$2+('Demand Base Matrix'!D$29+'Demand Base Matrix'!D$30)*$W$2*$AD$2+'Demand Base Matrix'!D$31*$W$2*$AD$2*$AE$2+'Demand Base Matrix'!D$33+'Demand Base Matrix'!D$34*$AF$2),IF($C49="Bond",(('Demand Base Matrix'!D$55+'Demand Base Matrix'!D$59)*$AC$2*$AD$2*$AE$2+('Demand Base Matrix'!D$56+'Demand Base Matrix'!D$57)*$W$2*$AD$2+'Demand Base Matrix'!D$58*$W$2*$AD$2*$AE$2+'Demand Base Matrix'!D$60+'Demand Base Matrix'!D$61*$AF$2),IF($C49="Explore",('Demand Base Matrix'!D$82*$AC$2*$AD$2*$AE$2*$AF$2+'Demand Base Matrix'!D$83*$W$2*$AC$2*$AD$2*$AE$2*$AF$2+'Demand Base Matrix'!D$84)))))</f>
        <v>10</v>
      </c>
      <c r="AH49">
        <f>IF($C49="Validate",(('Demand Base Matrix'!E$2+'Demand Base Matrix'!E$6)*$AC$2*$AD$2*$AE$2+('Demand Base Matrix'!E$3+'Demand Base Matrix'!E$4)*$W$2*$AD$2+'Demand Base Matrix'!E$5*$W$2*$AD$2*$AE$2+'Demand Base Matrix'!E$7+'Demand Base Matrix'!E$8*$AF$2),IF($C49="Integrate",(('Demand Base Matrix'!E$28+'Demand Base Matrix'!E$32)*$AC$2*$AD$2*$AE$2+('Demand Base Matrix'!E$29+'Demand Base Matrix'!E$30)*$W$2*$AD$2+'Demand Base Matrix'!E$31*$W$2*$AD$2*$AE$2+'Demand Base Matrix'!E$33+'Demand Base Matrix'!E$34*$AF$2),IF($C49="Bond",(('Demand Base Matrix'!E$55+'Demand Base Matrix'!E$59)*$AC$2*$AD$2*$AE$2+('Demand Base Matrix'!E$56+'Demand Base Matrix'!E$57)*$W$2*$AD$2+'Demand Base Matrix'!E$58*$W$2*$AD$2*$AE$2+'Demand Base Matrix'!E$60+'Demand Base Matrix'!E$61*$AF$2),IF($C49="Explore",('Demand Base Matrix'!E$82*$AC$2*$AD$2*$AE$2*$AF$2+'Demand Base Matrix'!E$83*$W$2*$AC$2*$AD$2*$AE$2*$AF$2+'Demand Base Matrix'!E$84)))))</f>
        <v>10</v>
      </c>
      <c r="AI49">
        <f>IF($C49="Validate",(('Demand Base Matrix'!F$2+'Demand Base Matrix'!F$6)*$AC$2*$AD$2*$AE$2+('Demand Base Matrix'!F$3+'Demand Base Matrix'!F$4)*$W$2*$AD$2+'Demand Base Matrix'!F$5*$W$2*$AD$2*$AE$2+'Demand Base Matrix'!F$7+'Demand Base Matrix'!F$8*$AF$2),IF($C49="Integrate",(('Demand Base Matrix'!F$28+'Demand Base Matrix'!F$32)*$AC$2*$AD$2*$AE$2+('Demand Base Matrix'!F$29+'Demand Base Matrix'!F$30)*$W$2*$AD$2+'Demand Base Matrix'!F$31*$W$2*$AD$2*$AE$2+'Demand Base Matrix'!F$33+'Demand Base Matrix'!F$34*$AF$2),IF($C49="Bond",(('Demand Base Matrix'!F$55+'Demand Base Matrix'!F$59)*$AC$2*$AD$2*$AE$2+('Demand Base Matrix'!F$56+'Demand Base Matrix'!F$57)*$W$2*$AD$2+'Demand Base Matrix'!F$58*$W$2*$AD$2*$AE$2+'Demand Base Matrix'!F$60+'Demand Base Matrix'!F$61*$AF$2),IF($C49="Explore",('Demand Base Matrix'!F$82*$AC$2*$AD$2*$AE$2*$AF$2+'Demand Base Matrix'!F$83*$W$2*$AC$2*$AD$2*$AE$2*$AF$2+'Demand Base Matrix'!F$84)))))</f>
        <v>10</v>
      </c>
      <c r="AJ49">
        <f>IF($C49="Validate",(('Demand Base Matrix'!G$2+'Demand Base Matrix'!G$6)*$AC$2*$AD$2*$AE$2+('Demand Base Matrix'!G$3+'Demand Base Matrix'!G$4)*$W$2*$AD$2+'Demand Base Matrix'!G$5*$W$2*$AD$2*$AE$2+'Demand Base Matrix'!G$7+'Demand Base Matrix'!G$8*$AF$2),IF($C49="Integrate",(('Demand Base Matrix'!G$28+'Demand Base Matrix'!G$32)*$AC$2*$AD$2*$AE$2+('Demand Base Matrix'!G$29+'Demand Base Matrix'!G$30)*$W$2*$AD$2+'Demand Base Matrix'!G$31*$W$2*$AD$2*$AE$2+'Demand Base Matrix'!G$33+'Demand Base Matrix'!G$34*$AF$2),IF($C49="Bond",(('Demand Base Matrix'!G$55+'Demand Base Matrix'!G$59)*$AC$2*$AD$2*$AE$2+('Demand Base Matrix'!G$56+'Demand Base Matrix'!G$57)*$W$2*$AD$2+'Demand Base Matrix'!G$58*$W$2*$AD$2*$AE$2+'Demand Base Matrix'!G$60+'Demand Base Matrix'!G$61*$AF$2),IF($C49="Explore",('Demand Base Matrix'!G$82*$AC$2*$AD$2*$AE$2*$AF$2+'Demand Base Matrix'!G$83*$W$2*$AC$2*$AD$2*$AE$2*$AF$2+'Demand Base Matrix'!G$84)))))</f>
        <v>50</v>
      </c>
      <c r="AK49">
        <f>IF($C49="Validate",(('Demand Base Matrix'!H$2+'Demand Base Matrix'!H$6)*$AC$2*$AD$2*$AE$2+('Demand Base Matrix'!H$3+'Demand Base Matrix'!H$4)*$W$2*$AD$2+'Demand Base Matrix'!H$5*$W$2*$AD$2*$AE$2+'Demand Base Matrix'!H$7+'Demand Base Matrix'!H$8*$AF$2),IF($C49="Integrate",(('Demand Base Matrix'!H$28+'Demand Base Matrix'!H$32)*$AC$2*$AD$2*$AE$2+('Demand Base Matrix'!H$29+'Demand Base Matrix'!H$30)*$W$2*$AD$2+'Demand Base Matrix'!H$31*$W$2*$AD$2*$AE$2+'Demand Base Matrix'!H$33+'Demand Base Matrix'!H$34*$AF$2),IF($C49="Bond",(('Demand Base Matrix'!H$55+'Demand Base Matrix'!H$59)*$AC$2*$AD$2*$AE$2+('Demand Base Matrix'!H$56+'Demand Base Matrix'!H$57)*$W$2*$AD$2+'Demand Base Matrix'!H$58*$W$2*$AD$2*$AE$2+'Demand Base Matrix'!H$60+'Demand Base Matrix'!H$61*$AF$2),IF($C49="Explore",('Demand Base Matrix'!H$82*$AC$2*$AD$2*$AE$2*$AF$2+'Demand Base Matrix'!H$83*$W$2*$AC$2*$AD$2*$AE$2*$AF$2+'Demand Base Matrix'!H$84)))))</f>
        <v>28</v>
      </c>
      <c r="AL49">
        <f>IF($C49="Validate",(('Demand Base Matrix'!I$2+'Demand Base Matrix'!I$6)*$AC$2*$AD$2*$AE$2+('Demand Base Matrix'!I$3+'Demand Base Matrix'!I$4)*$W$2*$AD$2+'Demand Base Matrix'!I$5*$W$2*$AD$2*$AE$2+'Demand Base Matrix'!I$7+'Demand Base Matrix'!I$8*$AF$2),IF($C49="Integrate",(('Demand Base Matrix'!I$28+'Demand Base Matrix'!I$32)*$AC$2*$AD$2*$AE$2+('Demand Base Matrix'!I$29+'Demand Base Matrix'!I$30)*$W$2*$AD$2+'Demand Base Matrix'!I$31*$W$2*$AD$2*$AE$2+'Demand Base Matrix'!I$33+'Demand Base Matrix'!I$34*$AF$2),IF($C49="Bond",(('Demand Base Matrix'!I$55+'Demand Base Matrix'!I$59)*$AC$2*$AD$2*$AE$2+('Demand Base Matrix'!I$56+'Demand Base Matrix'!I$57)*$W$2*$AD$2+'Demand Base Matrix'!I$58*$W$2*$AD$2*$AE$2+'Demand Base Matrix'!I$60+'Demand Base Matrix'!I$61*$AF$2),IF($C49="Explore",('Demand Base Matrix'!I$82*$AC$2*$AD$2*$AE$2*$AF$2+'Demand Base Matrix'!I$83*$W$2*$AC$2*$AD$2*$AE$2*$AF$2+'Demand Base Matrix'!I$84)))))</f>
        <v>8</v>
      </c>
      <c r="AM49">
        <f>IF($C49="Validate",(('Demand Base Matrix'!J$2+'Demand Base Matrix'!J$6)*$AC$2*$AD$2*$AE$2+('Demand Base Matrix'!J$3+'Demand Base Matrix'!J$4)*$W$2*$AD$2+'Demand Base Matrix'!J$5*$W$2*$AD$2*$AE$2+'Demand Base Matrix'!J$7+'Demand Base Matrix'!J$8*$AF$2),IF($C49="Integrate",(('Demand Base Matrix'!J$28+'Demand Base Matrix'!J$32)*$AC$2*$AD$2*$AE$2+('Demand Base Matrix'!J$29+'Demand Base Matrix'!J$30)*$W$2*$AD$2+'Demand Base Matrix'!J$31*$W$2*$AD$2*$AE$2+'Demand Base Matrix'!J$33+'Demand Base Matrix'!J$34*$AF$2),IF($C49="Bond",(('Demand Base Matrix'!J$55+'Demand Base Matrix'!J$59)*$AC$2*$AD$2*$AE$2+('Demand Base Matrix'!J$56+'Demand Base Matrix'!J$57)*$W$2*$AD$2+'Demand Base Matrix'!J$58*$W$2*$AD$2*$AE$2+'Demand Base Matrix'!J$60+'Demand Base Matrix'!J$61*$AF$2),IF($C49="Explore",('Demand Base Matrix'!J$82*$AC$2*$AD$2*$AE$2*$AF$2+'Demand Base Matrix'!J$83*$W$2*$AC$2*$AD$2*$AE$2*$AF$2+'Demand Base Matrix'!J$84)))))</f>
        <v>8</v>
      </c>
      <c r="AP49" s="5"/>
      <c r="AQ49" s="5"/>
      <c r="AR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</row>
    <row r="50" spans="1:95" x14ac:dyDescent="0.2">
      <c r="A50" t="s">
        <v>761</v>
      </c>
      <c r="B50" t="s">
        <v>78</v>
      </c>
      <c r="C50" t="s">
        <v>23</v>
      </c>
      <c r="D50" t="s">
        <v>36</v>
      </c>
      <c r="E50" t="s">
        <v>116</v>
      </c>
      <c r="F50" t="s">
        <v>800</v>
      </c>
      <c r="I50" t="str">
        <f>IFERROR(INDEX('Customer 360'!F:F,MATCH(B50,'Customer 360'!A:A,0)),"-")</f>
        <v>D</v>
      </c>
      <c r="J50">
        <v>1357</v>
      </c>
      <c r="K50">
        <v>200</v>
      </c>
      <c r="L50" s="4">
        <v>46233</v>
      </c>
      <c r="M50" s="4">
        <v>46233</v>
      </c>
      <c r="N50">
        <v>2026</v>
      </c>
      <c r="O50" s="4">
        <v>46023</v>
      </c>
      <c r="P50" t="s">
        <v>217</v>
      </c>
      <c r="Q50" s="18">
        <f t="shared" si="0"/>
        <v>46023</v>
      </c>
      <c r="R50" s="18">
        <f>IFERROR(IF(M50&lt;&gt;"",M50,IF(L50&lt;&gt;"",L50,INDEX('CSM RDD'!B:B,MATCH(B50,'CSM RDD'!A:A,0)))),"-")</f>
        <v>46233</v>
      </c>
      <c r="S50" s="18">
        <f t="shared" si="7"/>
        <v>46023</v>
      </c>
      <c r="T50" s="18">
        <f t="shared" si="8"/>
        <v>46204</v>
      </c>
      <c r="U50" s="6">
        <f t="shared" si="9"/>
        <v>1557</v>
      </c>
      <c r="V50" s="18">
        <f t="shared" si="18"/>
        <v>46082</v>
      </c>
      <c r="W50">
        <f>IF(U50=0,1,IF(U50&lt;='Demand Base Matrix'!$K$3,'Demand Base Matrix'!$L$3,IF(U50&lt;='Demand Base Matrix'!$K$4,'Demand Base Matrix'!$L$4,IF(U50&lt;='Demand Base Matrix'!$K$5,'Demand Base Matrix'!$L$5,IF(U50&lt;='Demand Base Matrix'!$K$6,'Demand Base Matrix'!$L$6,IF(U50&lt;='Demand Base Matrix'!$K$7,'Demand Base Matrix'!$L$7))))))</f>
        <v>1</v>
      </c>
      <c r="X50" s="4">
        <f t="shared" si="10"/>
        <v>46204</v>
      </c>
      <c r="Y50" t="str">
        <f t="shared" si="11"/>
        <v>Tx</v>
      </c>
      <c r="Z50" t="s">
        <v>685</v>
      </c>
      <c r="AA50" t="s">
        <v>685</v>
      </c>
      <c r="AB50" t="s">
        <v>685</v>
      </c>
      <c r="AC50">
        <f>IFERROR(INDEX('Demand Base Matrix'!AM:AM,MATCH(Y50,'Demand Base Matrix'!AL:AL,0)),"-")</f>
        <v>1.5</v>
      </c>
      <c r="AD50">
        <f>IFERROR(INDEX('Demand Base Matrix'!AO:AO,MATCH(Z50,'Demand Base Matrix'!AN:AN,0)),1)</f>
        <v>1</v>
      </c>
      <c r="AE50">
        <f>IFERROR(INDEX('Demand Base Matrix'!AQ:AQ,MATCH(AA50,'Demand Base Matrix'!AP:AP,0)),1)</f>
        <v>1</v>
      </c>
      <c r="AF50">
        <f>IFERROR(INDEX('Demand Base Matrix'!AS:AS,MATCH(AB50,'Demand Base Matrix'!AR:AR,0)),1)</f>
        <v>1</v>
      </c>
      <c r="AG50">
        <f>IF($C50="Validate",(('Demand Base Matrix'!D$2+'Demand Base Matrix'!D$6)*$AC$2*$AD$2*$AE$2+('Demand Base Matrix'!D$3+'Demand Base Matrix'!D$4)*$W$2*$AD$2+'Demand Base Matrix'!D$5*$W$2*$AD$2*$AE$2+'Demand Base Matrix'!D$7+'Demand Base Matrix'!D$8*$AF$2),IF($C50="Integrate",(('Demand Base Matrix'!D$28+'Demand Base Matrix'!D$32)*$AC$2*$AD$2*$AE$2+('Demand Base Matrix'!D$29+'Demand Base Matrix'!D$30)*$W$2*$AD$2+'Demand Base Matrix'!D$31*$W$2*$AD$2*$AE$2+'Demand Base Matrix'!D$33+'Demand Base Matrix'!D$34*$AF$2),IF($C50="Bond",(('Demand Base Matrix'!D$55+'Demand Base Matrix'!D$59)*$AC$2*$AD$2*$AE$2+('Demand Base Matrix'!D$56+'Demand Base Matrix'!D$57)*$W$2*$AD$2+'Demand Base Matrix'!D$58*$W$2*$AD$2*$AE$2+'Demand Base Matrix'!D$60+'Demand Base Matrix'!D$61*$AF$2),IF($C50="Explore",('Demand Base Matrix'!D$82*$AC$2*$AD$2*$AE$2*$AF$2+'Demand Base Matrix'!D$83*$W$2*$AC$2*$AD$2*$AE$2*$AF$2+'Demand Base Matrix'!D$84)))))</f>
        <v>10</v>
      </c>
      <c r="AH50">
        <f>IF($C50="Validate",(('Demand Base Matrix'!E$2+'Demand Base Matrix'!E$6)*$AC$2*$AD$2*$AE$2+('Demand Base Matrix'!E$3+'Demand Base Matrix'!E$4)*$W$2*$AD$2+'Demand Base Matrix'!E$5*$W$2*$AD$2*$AE$2+'Demand Base Matrix'!E$7+'Demand Base Matrix'!E$8*$AF$2),IF($C50="Integrate",(('Demand Base Matrix'!E$28+'Demand Base Matrix'!E$32)*$AC$2*$AD$2*$AE$2+('Demand Base Matrix'!E$29+'Demand Base Matrix'!E$30)*$W$2*$AD$2+'Demand Base Matrix'!E$31*$W$2*$AD$2*$AE$2+'Demand Base Matrix'!E$33+'Demand Base Matrix'!E$34*$AF$2),IF($C50="Bond",(('Demand Base Matrix'!E$55+'Demand Base Matrix'!E$59)*$AC$2*$AD$2*$AE$2+('Demand Base Matrix'!E$56+'Demand Base Matrix'!E$57)*$W$2*$AD$2+'Demand Base Matrix'!E$58*$W$2*$AD$2*$AE$2+'Demand Base Matrix'!E$60+'Demand Base Matrix'!E$61*$AF$2),IF($C50="Explore",('Demand Base Matrix'!E$82*$AC$2*$AD$2*$AE$2*$AF$2+'Demand Base Matrix'!E$83*$W$2*$AC$2*$AD$2*$AE$2*$AF$2+'Demand Base Matrix'!E$84)))))</f>
        <v>10</v>
      </c>
      <c r="AI50">
        <f>IF($C50="Validate",(('Demand Base Matrix'!F$2+'Demand Base Matrix'!F$6)*$AC$2*$AD$2*$AE$2+('Demand Base Matrix'!F$3+'Demand Base Matrix'!F$4)*$W$2*$AD$2+'Demand Base Matrix'!F$5*$W$2*$AD$2*$AE$2+'Demand Base Matrix'!F$7+'Demand Base Matrix'!F$8*$AF$2),IF($C50="Integrate",(('Demand Base Matrix'!F$28+'Demand Base Matrix'!F$32)*$AC$2*$AD$2*$AE$2+('Demand Base Matrix'!F$29+'Demand Base Matrix'!F$30)*$W$2*$AD$2+'Demand Base Matrix'!F$31*$W$2*$AD$2*$AE$2+'Demand Base Matrix'!F$33+'Demand Base Matrix'!F$34*$AF$2),IF($C50="Bond",(('Demand Base Matrix'!F$55+'Demand Base Matrix'!F$59)*$AC$2*$AD$2*$AE$2+('Demand Base Matrix'!F$56+'Demand Base Matrix'!F$57)*$W$2*$AD$2+'Demand Base Matrix'!F$58*$W$2*$AD$2*$AE$2+'Demand Base Matrix'!F$60+'Demand Base Matrix'!F$61*$AF$2),IF($C50="Explore",('Demand Base Matrix'!F$82*$AC$2*$AD$2*$AE$2*$AF$2+'Demand Base Matrix'!F$83*$W$2*$AC$2*$AD$2*$AE$2*$AF$2+'Demand Base Matrix'!F$84)))))</f>
        <v>10</v>
      </c>
      <c r="AJ50">
        <f>IF($C50="Validate",(('Demand Base Matrix'!G$2+'Demand Base Matrix'!G$6)*$AC$2*$AD$2*$AE$2+('Demand Base Matrix'!G$3+'Demand Base Matrix'!G$4)*$W$2*$AD$2+'Demand Base Matrix'!G$5*$W$2*$AD$2*$AE$2+'Demand Base Matrix'!G$7+'Demand Base Matrix'!G$8*$AF$2),IF($C50="Integrate",(('Demand Base Matrix'!G$28+'Demand Base Matrix'!G$32)*$AC$2*$AD$2*$AE$2+('Demand Base Matrix'!G$29+'Demand Base Matrix'!G$30)*$W$2*$AD$2+'Demand Base Matrix'!G$31*$W$2*$AD$2*$AE$2+'Demand Base Matrix'!G$33+'Demand Base Matrix'!G$34*$AF$2),IF($C50="Bond",(('Demand Base Matrix'!G$55+'Demand Base Matrix'!G$59)*$AC$2*$AD$2*$AE$2+('Demand Base Matrix'!G$56+'Demand Base Matrix'!G$57)*$W$2*$AD$2+'Demand Base Matrix'!G$58*$W$2*$AD$2*$AE$2+'Demand Base Matrix'!G$60+'Demand Base Matrix'!G$61*$AF$2),IF($C50="Explore",('Demand Base Matrix'!G$82*$AC$2*$AD$2*$AE$2*$AF$2+'Demand Base Matrix'!G$83*$W$2*$AC$2*$AD$2*$AE$2*$AF$2+'Demand Base Matrix'!G$84)))))</f>
        <v>50</v>
      </c>
      <c r="AK50">
        <f>IF($C50="Validate",(('Demand Base Matrix'!H$2+'Demand Base Matrix'!H$6)*$AC$2*$AD$2*$AE$2+('Demand Base Matrix'!H$3+'Demand Base Matrix'!H$4)*$W$2*$AD$2+'Demand Base Matrix'!H$5*$W$2*$AD$2*$AE$2+'Demand Base Matrix'!H$7+'Demand Base Matrix'!H$8*$AF$2),IF($C50="Integrate",(('Demand Base Matrix'!H$28+'Demand Base Matrix'!H$32)*$AC$2*$AD$2*$AE$2+('Demand Base Matrix'!H$29+'Demand Base Matrix'!H$30)*$W$2*$AD$2+'Demand Base Matrix'!H$31*$W$2*$AD$2*$AE$2+'Demand Base Matrix'!H$33+'Demand Base Matrix'!H$34*$AF$2),IF($C50="Bond",(('Demand Base Matrix'!H$55+'Demand Base Matrix'!H$59)*$AC$2*$AD$2*$AE$2+('Demand Base Matrix'!H$56+'Demand Base Matrix'!H$57)*$W$2*$AD$2+'Demand Base Matrix'!H$58*$W$2*$AD$2*$AE$2+'Demand Base Matrix'!H$60+'Demand Base Matrix'!H$61*$AF$2),IF($C50="Explore",('Demand Base Matrix'!H$82*$AC$2*$AD$2*$AE$2*$AF$2+'Demand Base Matrix'!H$83*$W$2*$AC$2*$AD$2*$AE$2*$AF$2+'Demand Base Matrix'!H$84)))))</f>
        <v>28</v>
      </c>
      <c r="AL50">
        <f>IF($C50="Validate",(('Demand Base Matrix'!I$2+'Demand Base Matrix'!I$6)*$AC$2*$AD$2*$AE$2+('Demand Base Matrix'!I$3+'Demand Base Matrix'!I$4)*$W$2*$AD$2+'Demand Base Matrix'!I$5*$W$2*$AD$2*$AE$2+'Demand Base Matrix'!I$7+'Demand Base Matrix'!I$8*$AF$2),IF($C50="Integrate",(('Demand Base Matrix'!I$28+'Demand Base Matrix'!I$32)*$AC$2*$AD$2*$AE$2+('Demand Base Matrix'!I$29+'Demand Base Matrix'!I$30)*$W$2*$AD$2+'Demand Base Matrix'!I$31*$W$2*$AD$2*$AE$2+'Demand Base Matrix'!I$33+'Demand Base Matrix'!I$34*$AF$2),IF($C50="Bond",(('Demand Base Matrix'!I$55+'Demand Base Matrix'!I$59)*$AC$2*$AD$2*$AE$2+('Demand Base Matrix'!I$56+'Demand Base Matrix'!I$57)*$W$2*$AD$2+'Demand Base Matrix'!I$58*$W$2*$AD$2*$AE$2+'Demand Base Matrix'!I$60+'Demand Base Matrix'!I$61*$AF$2),IF($C50="Explore",('Demand Base Matrix'!I$82*$AC$2*$AD$2*$AE$2*$AF$2+'Demand Base Matrix'!I$83*$W$2*$AC$2*$AD$2*$AE$2*$AF$2+'Demand Base Matrix'!I$84)))))</f>
        <v>8</v>
      </c>
      <c r="AM50">
        <f>IF($C50="Validate",(('Demand Base Matrix'!J$2+'Demand Base Matrix'!J$6)*$AC$2*$AD$2*$AE$2+('Demand Base Matrix'!J$3+'Demand Base Matrix'!J$4)*$W$2*$AD$2+'Demand Base Matrix'!J$5*$W$2*$AD$2*$AE$2+'Demand Base Matrix'!J$7+'Demand Base Matrix'!J$8*$AF$2),IF($C50="Integrate",(('Demand Base Matrix'!J$28+'Demand Base Matrix'!J$32)*$AC$2*$AD$2*$AE$2+('Demand Base Matrix'!J$29+'Demand Base Matrix'!J$30)*$W$2*$AD$2+'Demand Base Matrix'!J$31*$W$2*$AD$2*$AE$2+'Demand Base Matrix'!J$33+'Demand Base Matrix'!J$34*$AF$2),IF($C50="Bond",(('Demand Base Matrix'!J$55+'Demand Base Matrix'!J$59)*$AC$2*$AD$2*$AE$2+('Demand Base Matrix'!J$56+'Demand Base Matrix'!J$57)*$W$2*$AD$2+'Demand Base Matrix'!J$58*$W$2*$AD$2*$AE$2+'Demand Base Matrix'!J$60+'Demand Base Matrix'!J$61*$AF$2),IF($C50="Explore",('Demand Base Matrix'!J$82*$AC$2*$AD$2*$AE$2*$AF$2+'Demand Base Matrix'!J$83*$W$2*$AC$2*$AD$2*$AE$2*$AF$2+'Demand Base Matrix'!J$84)))))</f>
        <v>8</v>
      </c>
      <c r="AP50" s="5"/>
      <c r="AQ50" s="5"/>
      <c r="AR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</row>
    <row r="51" spans="1:95" x14ac:dyDescent="0.2">
      <c r="A51" t="s">
        <v>762</v>
      </c>
      <c r="B51" t="s">
        <v>79</v>
      </c>
      <c r="C51" t="s">
        <v>23</v>
      </c>
      <c r="D51" t="s">
        <v>694</v>
      </c>
      <c r="E51" t="s">
        <v>222</v>
      </c>
      <c r="F51" t="s">
        <v>189</v>
      </c>
      <c r="I51" t="str">
        <f>IFERROR(INDEX('Customer 360'!F:F,MATCH(B51,'Customer 360'!A:A,0)),"-")</f>
        <v>C</v>
      </c>
      <c r="J51">
        <v>3400</v>
      </c>
      <c r="K51"/>
      <c r="L51" s="4">
        <v>46260</v>
      </c>
      <c r="M51" s="4">
        <v>46260</v>
      </c>
      <c r="N51">
        <v>2026</v>
      </c>
      <c r="O51" s="4">
        <v>46023</v>
      </c>
      <c r="P51" t="s">
        <v>217</v>
      </c>
      <c r="Q51" s="18">
        <f t="shared" si="0"/>
        <v>46023</v>
      </c>
      <c r="R51" s="18">
        <f>IFERROR(IF(M51&lt;&gt;"",M51,IF(L51&lt;&gt;"",L51,INDEX('CSM RDD'!B:B,MATCH(B51,'CSM RDD'!A:A,0)))),"-")</f>
        <v>46260</v>
      </c>
      <c r="S51" s="18">
        <f t="shared" si="7"/>
        <v>46023</v>
      </c>
      <c r="T51" s="18">
        <f t="shared" si="8"/>
        <v>46235</v>
      </c>
      <c r="U51" s="6">
        <f t="shared" si="9"/>
        <v>3400</v>
      </c>
      <c r="V51" s="18">
        <f t="shared" si="18"/>
        <v>46082</v>
      </c>
      <c r="W51">
        <f>IF(U51=0,1,IF(U51&lt;='Demand Base Matrix'!$K$3,'Demand Base Matrix'!$L$3,IF(U51&lt;='Demand Base Matrix'!$K$4,'Demand Base Matrix'!$L$4,IF(U51&lt;='Demand Base Matrix'!$K$5,'Demand Base Matrix'!$L$5,IF(U51&lt;='Demand Base Matrix'!$K$6,'Demand Base Matrix'!$L$6,IF(U51&lt;='Demand Base Matrix'!$K$7,'Demand Base Matrix'!$L$7))))))</f>
        <v>1</v>
      </c>
      <c r="X51" s="4">
        <f t="shared" si="10"/>
        <v>46235</v>
      </c>
      <c r="Y51" t="str">
        <f t="shared" si="11"/>
        <v>Dx</v>
      </c>
      <c r="Z51" t="s">
        <v>685</v>
      </c>
      <c r="AA51" t="s">
        <v>685</v>
      </c>
      <c r="AB51" t="s">
        <v>685</v>
      </c>
      <c r="AC51">
        <f>IFERROR(INDEX('Demand Base Matrix'!AM:AM,MATCH(Y51,'Demand Base Matrix'!AL:AL,0)),"-")</f>
        <v>1</v>
      </c>
      <c r="AD51">
        <f>IFERROR(INDEX('Demand Base Matrix'!AO:AO,MATCH(Z51,'Demand Base Matrix'!AN:AN,0)),1)</f>
        <v>1</v>
      </c>
      <c r="AE51">
        <f>IFERROR(INDEX('Demand Base Matrix'!AQ:AQ,MATCH(AA51,'Demand Base Matrix'!AP:AP,0)),1)</f>
        <v>1</v>
      </c>
      <c r="AF51">
        <f>IFERROR(INDEX('Demand Base Matrix'!AS:AS,MATCH(AB51,'Demand Base Matrix'!AR:AR,0)),1)</f>
        <v>1</v>
      </c>
      <c r="AG51">
        <f>IF($C51="Validate",(('Demand Base Matrix'!D$2+'Demand Base Matrix'!D$6)*$AC$2*$AD$2*$AE$2+('Demand Base Matrix'!D$3+'Demand Base Matrix'!D$4)*$W$2*$AD$2+'Demand Base Matrix'!D$5*$W$2*$AD$2*$AE$2+'Demand Base Matrix'!D$7+'Demand Base Matrix'!D$8*$AF$2),IF($C51="Integrate",(('Demand Base Matrix'!D$28+'Demand Base Matrix'!D$32)*$AC$2*$AD$2*$AE$2+('Demand Base Matrix'!D$29+'Demand Base Matrix'!D$30)*$W$2*$AD$2+'Demand Base Matrix'!D$31*$W$2*$AD$2*$AE$2+'Demand Base Matrix'!D$33+'Demand Base Matrix'!D$34*$AF$2),IF($C51="Bond",(('Demand Base Matrix'!D$55+'Demand Base Matrix'!D$59)*$AC$2*$AD$2*$AE$2+('Demand Base Matrix'!D$56+'Demand Base Matrix'!D$57)*$W$2*$AD$2+'Demand Base Matrix'!D$58*$W$2*$AD$2*$AE$2+'Demand Base Matrix'!D$60+'Demand Base Matrix'!D$61*$AF$2),IF($C51="Explore",('Demand Base Matrix'!D$82*$AC$2*$AD$2*$AE$2*$AF$2+'Demand Base Matrix'!D$83*$W$2*$AC$2*$AD$2*$AE$2*$AF$2+'Demand Base Matrix'!D$84)))))</f>
        <v>10</v>
      </c>
      <c r="AH51">
        <f>IF($C51="Validate",(('Demand Base Matrix'!E$2+'Demand Base Matrix'!E$6)*$AC$2*$AD$2*$AE$2+('Demand Base Matrix'!E$3+'Demand Base Matrix'!E$4)*$W$2*$AD$2+'Demand Base Matrix'!E$5*$W$2*$AD$2*$AE$2+'Demand Base Matrix'!E$7+'Demand Base Matrix'!E$8*$AF$2),IF($C51="Integrate",(('Demand Base Matrix'!E$28+'Demand Base Matrix'!E$32)*$AC$2*$AD$2*$AE$2+('Demand Base Matrix'!E$29+'Demand Base Matrix'!E$30)*$W$2*$AD$2+'Demand Base Matrix'!E$31*$W$2*$AD$2*$AE$2+'Demand Base Matrix'!E$33+'Demand Base Matrix'!E$34*$AF$2),IF($C51="Bond",(('Demand Base Matrix'!E$55+'Demand Base Matrix'!E$59)*$AC$2*$AD$2*$AE$2+('Demand Base Matrix'!E$56+'Demand Base Matrix'!E$57)*$W$2*$AD$2+'Demand Base Matrix'!E$58*$W$2*$AD$2*$AE$2+'Demand Base Matrix'!E$60+'Demand Base Matrix'!E$61*$AF$2),IF($C51="Explore",('Demand Base Matrix'!E$82*$AC$2*$AD$2*$AE$2*$AF$2+'Demand Base Matrix'!E$83*$W$2*$AC$2*$AD$2*$AE$2*$AF$2+'Demand Base Matrix'!E$84)))))</f>
        <v>10</v>
      </c>
      <c r="AI51">
        <f>IF($C51="Validate",(('Demand Base Matrix'!F$2+'Demand Base Matrix'!F$6)*$AC$2*$AD$2*$AE$2+('Demand Base Matrix'!F$3+'Demand Base Matrix'!F$4)*$W$2*$AD$2+'Demand Base Matrix'!F$5*$W$2*$AD$2*$AE$2+'Demand Base Matrix'!F$7+'Demand Base Matrix'!F$8*$AF$2),IF($C51="Integrate",(('Demand Base Matrix'!F$28+'Demand Base Matrix'!F$32)*$AC$2*$AD$2*$AE$2+('Demand Base Matrix'!F$29+'Demand Base Matrix'!F$30)*$W$2*$AD$2+'Demand Base Matrix'!F$31*$W$2*$AD$2*$AE$2+'Demand Base Matrix'!F$33+'Demand Base Matrix'!F$34*$AF$2),IF($C51="Bond",(('Demand Base Matrix'!F$55+'Demand Base Matrix'!F$59)*$AC$2*$AD$2*$AE$2+('Demand Base Matrix'!F$56+'Demand Base Matrix'!F$57)*$W$2*$AD$2+'Demand Base Matrix'!F$58*$W$2*$AD$2*$AE$2+'Demand Base Matrix'!F$60+'Demand Base Matrix'!F$61*$AF$2),IF($C51="Explore",('Demand Base Matrix'!F$82*$AC$2*$AD$2*$AE$2*$AF$2+'Demand Base Matrix'!F$83*$W$2*$AC$2*$AD$2*$AE$2*$AF$2+'Demand Base Matrix'!F$84)))))</f>
        <v>10</v>
      </c>
      <c r="AJ51">
        <f>IF($C51="Validate",(('Demand Base Matrix'!G$2+'Demand Base Matrix'!G$6)*$AC$2*$AD$2*$AE$2+('Demand Base Matrix'!G$3+'Demand Base Matrix'!G$4)*$W$2*$AD$2+'Demand Base Matrix'!G$5*$W$2*$AD$2*$AE$2+'Demand Base Matrix'!G$7+'Demand Base Matrix'!G$8*$AF$2),IF($C51="Integrate",(('Demand Base Matrix'!G$28+'Demand Base Matrix'!G$32)*$AC$2*$AD$2*$AE$2+('Demand Base Matrix'!G$29+'Demand Base Matrix'!G$30)*$W$2*$AD$2+'Demand Base Matrix'!G$31*$W$2*$AD$2*$AE$2+'Demand Base Matrix'!G$33+'Demand Base Matrix'!G$34*$AF$2),IF($C51="Bond",(('Demand Base Matrix'!G$55+'Demand Base Matrix'!G$59)*$AC$2*$AD$2*$AE$2+('Demand Base Matrix'!G$56+'Demand Base Matrix'!G$57)*$W$2*$AD$2+'Demand Base Matrix'!G$58*$W$2*$AD$2*$AE$2+'Demand Base Matrix'!G$60+'Demand Base Matrix'!G$61*$AF$2),IF($C51="Explore",('Demand Base Matrix'!G$82*$AC$2*$AD$2*$AE$2*$AF$2+'Demand Base Matrix'!G$83*$W$2*$AC$2*$AD$2*$AE$2*$AF$2+'Demand Base Matrix'!G$84)))))</f>
        <v>50</v>
      </c>
      <c r="AK51">
        <f>IF($C51="Validate",(('Demand Base Matrix'!H$2+'Demand Base Matrix'!H$6)*$AC$2*$AD$2*$AE$2+('Demand Base Matrix'!H$3+'Demand Base Matrix'!H$4)*$W$2*$AD$2+'Demand Base Matrix'!H$5*$W$2*$AD$2*$AE$2+'Demand Base Matrix'!H$7+'Demand Base Matrix'!H$8*$AF$2),IF($C51="Integrate",(('Demand Base Matrix'!H$28+'Demand Base Matrix'!H$32)*$AC$2*$AD$2*$AE$2+('Demand Base Matrix'!H$29+'Demand Base Matrix'!H$30)*$W$2*$AD$2+'Demand Base Matrix'!H$31*$W$2*$AD$2*$AE$2+'Demand Base Matrix'!H$33+'Demand Base Matrix'!H$34*$AF$2),IF($C51="Bond",(('Demand Base Matrix'!H$55+'Demand Base Matrix'!H$59)*$AC$2*$AD$2*$AE$2+('Demand Base Matrix'!H$56+'Demand Base Matrix'!H$57)*$W$2*$AD$2+'Demand Base Matrix'!H$58*$W$2*$AD$2*$AE$2+'Demand Base Matrix'!H$60+'Demand Base Matrix'!H$61*$AF$2),IF($C51="Explore",('Demand Base Matrix'!H$82*$AC$2*$AD$2*$AE$2*$AF$2+'Demand Base Matrix'!H$83*$W$2*$AC$2*$AD$2*$AE$2*$AF$2+'Demand Base Matrix'!H$84)))))</f>
        <v>28</v>
      </c>
      <c r="AL51">
        <f>IF($C51="Validate",(('Demand Base Matrix'!I$2+'Demand Base Matrix'!I$6)*$AC$2*$AD$2*$AE$2+('Demand Base Matrix'!I$3+'Demand Base Matrix'!I$4)*$W$2*$AD$2+'Demand Base Matrix'!I$5*$W$2*$AD$2*$AE$2+'Demand Base Matrix'!I$7+'Demand Base Matrix'!I$8*$AF$2),IF($C51="Integrate",(('Demand Base Matrix'!I$28+'Demand Base Matrix'!I$32)*$AC$2*$AD$2*$AE$2+('Demand Base Matrix'!I$29+'Demand Base Matrix'!I$30)*$W$2*$AD$2+'Demand Base Matrix'!I$31*$W$2*$AD$2*$AE$2+'Demand Base Matrix'!I$33+'Demand Base Matrix'!I$34*$AF$2),IF($C51="Bond",(('Demand Base Matrix'!I$55+'Demand Base Matrix'!I$59)*$AC$2*$AD$2*$AE$2+('Demand Base Matrix'!I$56+'Demand Base Matrix'!I$57)*$W$2*$AD$2+'Demand Base Matrix'!I$58*$W$2*$AD$2*$AE$2+'Demand Base Matrix'!I$60+'Demand Base Matrix'!I$61*$AF$2),IF($C51="Explore",('Demand Base Matrix'!I$82*$AC$2*$AD$2*$AE$2*$AF$2+'Demand Base Matrix'!I$83*$W$2*$AC$2*$AD$2*$AE$2*$AF$2+'Demand Base Matrix'!I$84)))))</f>
        <v>8</v>
      </c>
      <c r="AM51">
        <f>IF($C51="Validate",(('Demand Base Matrix'!J$2+'Demand Base Matrix'!J$6)*$AC$2*$AD$2*$AE$2+('Demand Base Matrix'!J$3+'Demand Base Matrix'!J$4)*$W$2*$AD$2+'Demand Base Matrix'!J$5*$W$2*$AD$2*$AE$2+'Demand Base Matrix'!J$7+'Demand Base Matrix'!J$8*$AF$2),IF($C51="Integrate",(('Demand Base Matrix'!J$28+'Demand Base Matrix'!J$32)*$AC$2*$AD$2*$AE$2+('Demand Base Matrix'!J$29+'Demand Base Matrix'!J$30)*$W$2*$AD$2+'Demand Base Matrix'!J$31*$W$2*$AD$2*$AE$2+'Demand Base Matrix'!J$33+'Demand Base Matrix'!J$34*$AF$2),IF($C51="Bond",(('Demand Base Matrix'!J$55+'Demand Base Matrix'!J$59)*$AC$2*$AD$2*$AE$2+('Demand Base Matrix'!J$56+'Demand Base Matrix'!J$57)*$W$2*$AD$2+'Demand Base Matrix'!J$58*$W$2*$AD$2*$AE$2+'Demand Base Matrix'!J$60+'Demand Base Matrix'!J$61*$AF$2),IF($C51="Explore",('Demand Base Matrix'!J$82*$AC$2*$AD$2*$AE$2*$AF$2+'Demand Base Matrix'!J$83*$W$2*$AC$2*$AD$2*$AE$2*$AF$2+'Demand Base Matrix'!J$84)))))</f>
        <v>8</v>
      </c>
      <c r="AP51" s="5"/>
      <c r="AQ51" s="5"/>
      <c r="AR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</row>
    <row r="52" spans="1:95" x14ac:dyDescent="0.2">
      <c r="A52" t="s">
        <v>763</v>
      </c>
      <c r="B52" t="s">
        <v>652</v>
      </c>
      <c r="C52" t="s">
        <v>20</v>
      </c>
      <c r="D52" t="s">
        <v>44</v>
      </c>
      <c r="E52" t="s">
        <v>118</v>
      </c>
      <c r="F52" t="s">
        <v>799</v>
      </c>
      <c r="I52" t="str">
        <f>IFERROR(INDEX('Customer 360'!F:F,MATCH(B52,'Customer 360'!A:A,0)),"-")</f>
        <v>C</v>
      </c>
      <c r="J52">
        <v>1289</v>
      </c>
      <c r="K52">
        <v>206</v>
      </c>
      <c r="L52" s="4">
        <v>46266</v>
      </c>
      <c r="M52" s="4">
        <v>46266</v>
      </c>
      <c r="N52">
        <v>2026</v>
      </c>
      <c r="O52" s="4">
        <v>46082</v>
      </c>
      <c r="P52" t="s">
        <v>217</v>
      </c>
      <c r="Q52" s="18">
        <f t="shared" si="0"/>
        <v>46082</v>
      </c>
      <c r="R52" s="18">
        <f>IFERROR(IF(M52&lt;&gt;"",M52,IF(L52&lt;&gt;"",L52,INDEX('CSM RDD'!B:B,MATCH(B52,'CSM RDD'!A:A,0)))),"-")</f>
        <v>46266</v>
      </c>
      <c r="S52" s="18">
        <f t="shared" si="7"/>
        <v>46082</v>
      </c>
      <c r="T52" s="18">
        <f t="shared" si="8"/>
        <v>46266</v>
      </c>
      <c r="U52" s="6">
        <f t="shared" si="9"/>
        <v>1495</v>
      </c>
      <c r="V52" s="18">
        <f t="shared" si="18"/>
        <v>46082</v>
      </c>
      <c r="W52">
        <f>IF(U52=0,1,IF(U52&lt;='Demand Base Matrix'!$K$3,'Demand Base Matrix'!$L$3,IF(U52&lt;='Demand Base Matrix'!$K$4,'Demand Base Matrix'!$L$4,IF(U52&lt;='Demand Base Matrix'!$K$5,'Demand Base Matrix'!$L$5,IF(U52&lt;='Demand Base Matrix'!$K$6,'Demand Base Matrix'!$L$6,IF(U52&lt;='Demand Base Matrix'!$K$7,'Demand Base Matrix'!$L$7))))))</f>
        <v>1</v>
      </c>
      <c r="X52" s="4">
        <f t="shared" si="10"/>
        <v>46266</v>
      </c>
      <c r="Y52" t="str">
        <f t="shared" si="11"/>
        <v>Tx</v>
      </c>
      <c r="Z52" t="s">
        <v>685</v>
      </c>
      <c r="AA52" t="s">
        <v>685</v>
      </c>
      <c r="AB52" t="s">
        <v>685</v>
      </c>
      <c r="AC52">
        <f>IFERROR(INDEX('Demand Base Matrix'!AM:AM,MATCH(Y52,'Demand Base Matrix'!AL:AL,0)),"-")</f>
        <v>1.5</v>
      </c>
      <c r="AD52">
        <f>IFERROR(INDEX('Demand Base Matrix'!AO:AO,MATCH(Z52,'Demand Base Matrix'!AN:AN,0)),1)</f>
        <v>1</v>
      </c>
      <c r="AE52">
        <f>IFERROR(INDEX('Demand Base Matrix'!AQ:AQ,MATCH(AA52,'Demand Base Matrix'!AP:AP,0)),1)</f>
        <v>1</v>
      </c>
      <c r="AF52">
        <f>IFERROR(INDEX('Demand Base Matrix'!AS:AS,MATCH(AB52,'Demand Base Matrix'!AR:AR,0)),1)</f>
        <v>1</v>
      </c>
      <c r="AG52">
        <f>IF($C52="Validate",(('Demand Base Matrix'!D$2+'Demand Base Matrix'!D$6)*$AC$2*$AD$2*$AE$2+('Demand Base Matrix'!D$3+'Demand Base Matrix'!D$4)*$W$2*$AD$2+'Demand Base Matrix'!D$5*$W$2*$AD$2*$AE$2+'Demand Base Matrix'!D$7+'Demand Base Matrix'!D$8*$AF$2),IF($C52="Integrate",(('Demand Base Matrix'!D$28+'Demand Base Matrix'!D$32)*$AC$2*$AD$2*$AE$2+('Demand Base Matrix'!D$29+'Demand Base Matrix'!D$30)*$W$2*$AD$2+'Demand Base Matrix'!D$31*$W$2*$AD$2*$AE$2+'Demand Base Matrix'!D$33+'Demand Base Matrix'!D$34*$AF$2),IF($C52="Bond",(('Demand Base Matrix'!D$55+'Demand Base Matrix'!D$59)*$AC$2*$AD$2*$AE$2+('Demand Base Matrix'!D$56+'Demand Base Matrix'!D$57)*$W$2*$AD$2+'Demand Base Matrix'!D$58*$W$2*$AD$2*$AE$2+'Demand Base Matrix'!D$60+'Demand Base Matrix'!D$61*$AF$2),IF($C52="Explore",('Demand Base Matrix'!D$82*$AC$2*$AD$2*$AE$2*$AF$2+'Demand Base Matrix'!D$83*$W$2*$AC$2*$AD$2*$AE$2*$AF$2+'Demand Base Matrix'!D$84)))))</f>
        <v>15</v>
      </c>
      <c r="AH52">
        <f>IF($C52="Validate",(('Demand Base Matrix'!E$2+'Demand Base Matrix'!E$6)*$AC$2*$AD$2*$AE$2+('Demand Base Matrix'!E$3+'Demand Base Matrix'!E$4)*$W$2*$AD$2+'Demand Base Matrix'!E$5*$W$2*$AD$2*$AE$2+'Demand Base Matrix'!E$7+'Demand Base Matrix'!E$8*$AF$2),IF($C52="Integrate",(('Demand Base Matrix'!E$28+'Demand Base Matrix'!E$32)*$AC$2*$AD$2*$AE$2+('Demand Base Matrix'!E$29+'Demand Base Matrix'!E$30)*$W$2*$AD$2+'Demand Base Matrix'!E$31*$W$2*$AD$2*$AE$2+'Demand Base Matrix'!E$33+'Demand Base Matrix'!E$34*$AF$2),IF($C52="Bond",(('Demand Base Matrix'!E$55+'Demand Base Matrix'!E$59)*$AC$2*$AD$2*$AE$2+('Demand Base Matrix'!E$56+'Demand Base Matrix'!E$57)*$W$2*$AD$2+'Demand Base Matrix'!E$58*$W$2*$AD$2*$AE$2+'Demand Base Matrix'!E$60+'Demand Base Matrix'!E$61*$AF$2),IF($C52="Explore",('Demand Base Matrix'!E$82*$AC$2*$AD$2*$AE$2*$AF$2+'Demand Base Matrix'!E$83*$W$2*$AC$2*$AD$2*$AE$2*$AF$2+'Demand Base Matrix'!E$84)))))</f>
        <v>15</v>
      </c>
      <c r="AI52">
        <f>IF($C52="Validate",(('Demand Base Matrix'!F$2+'Demand Base Matrix'!F$6)*$AC$2*$AD$2*$AE$2+('Demand Base Matrix'!F$3+'Demand Base Matrix'!F$4)*$W$2*$AD$2+'Demand Base Matrix'!F$5*$W$2*$AD$2*$AE$2+'Demand Base Matrix'!F$7+'Demand Base Matrix'!F$8*$AF$2),IF($C52="Integrate",(('Demand Base Matrix'!F$28+'Demand Base Matrix'!F$32)*$AC$2*$AD$2*$AE$2+('Demand Base Matrix'!F$29+'Demand Base Matrix'!F$30)*$W$2*$AD$2+'Demand Base Matrix'!F$31*$W$2*$AD$2*$AE$2+'Demand Base Matrix'!F$33+'Demand Base Matrix'!F$34*$AF$2),IF($C52="Bond",(('Demand Base Matrix'!F$55+'Demand Base Matrix'!F$59)*$AC$2*$AD$2*$AE$2+('Demand Base Matrix'!F$56+'Demand Base Matrix'!F$57)*$W$2*$AD$2+'Demand Base Matrix'!F$58*$W$2*$AD$2*$AE$2+'Demand Base Matrix'!F$60+'Demand Base Matrix'!F$61*$AF$2),IF($C52="Explore",('Demand Base Matrix'!F$82*$AC$2*$AD$2*$AE$2*$AF$2+'Demand Base Matrix'!F$83*$W$2*$AC$2*$AD$2*$AE$2*$AF$2+'Demand Base Matrix'!F$84)))))</f>
        <v>7</v>
      </c>
      <c r="AJ52">
        <f>IF($C52="Validate",(('Demand Base Matrix'!G$2+'Demand Base Matrix'!G$6)*$AC$2*$AD$2*$AE$2+('Demand Base Matrix'!G$3+'Demand Base Matrix'!G$4)*$W$2*$AD$2+'Demand Base Matrix'!G$5*$W$2*$AD$2*$AE$2+'Demand Base Matrix'!G$7+'Demand Base Matrix'!G$8*$AF$2),IF($C52="Integrate",(('Demand Base Matrix'!G$28+'Demand Base Matrix'!G$32)*$AC$2*$AD$2*$AE$2+('Demand Base Matrix'!G$29+'Demand Base Matrix'!G$30)*$W$2*$AD$2+'Demand Base Matrix'!G$31*$W$2*$AD$2*$AE$2+'Demand Base Matrix'!G$33+'Demand Base Matrix'!G$34*$AF$2),IF($C52="Bond",(('Demand Base Matrix'!G$55+'Demand Base Matrix'!G$59)*$AC$2*$AD$2*$AE$2+('Demand Base Matrix'!G$56+'Demand Base Matrix'!G$57)*$W$2*$AD$2+'Demand Base Matrix'!G$58*$W$2*$AD$2*$AE$2+'Demand Base Matrix'!G$60+'Demand Base Matrix'!G$61*$AF$2),IF($C52="Explore",('Demand Base Matrix'!G$82*$AC$2*$AD$2*$AE$2*$AF$2+'Demand Base Matrix'!G$83*$W$2*$AC$2*$AD$2*$AE$2*$AF$2+'Demand Base Matrix'!G$84)))))</f>
        <v>40</v>
      </c>
      <c r="AK52">
        <f>IF($C52="Validate",(('Demand Base Matrix'!H$2+'Demand Base Matrix'!H$6)*$AC$2*$AD$2*$AE$2+('Demand Base Matrix'!H$3+'Demand Base Matrix'!H$4)*$W$2*$AD$2+'Demand Base Matrix'!H$5*$W$2*$AD$2*$AE$2+'Demand Base Matrix'!H$7+'Demand Base Matrix'!H$8*$AF$2),IF($C52="Integrate",(('Demand Base Matrix'!H$28+'Demand Base Matrix'!H$32)*$AC$2*$AD$2*$AE$2+('Demand Base Matrix'!H$29+'Demand Base Matrix'!H$30)*$W$2*$AD$2+'Demand Base Matrix'!H$31*$W$2*$AD$2*$AE$2+'Demand Base Matrix'!H$33+'Demand Base Matrix'!H$34*$AF$2),IF($C52="Bond",(('Demand Base Matrix'!H$55+'Demand Base Matrix'!H$59)*$AC$2*$AD$2*$AE$2+('Demand Base Matrix'!H$56+'Demand Base Matrix'!H$57)*$W$2*$AD$2+'Demand Base Matrix'!H$58*$W$2*$AD$2*$AE$2+'Demand Base Matrix'!H$60+'Demand Base Matrix'!H$61*$AF$2),IF($C52="Explore",('Demand Base Matrix'!H$82*$AC$2*$AD$2*$AE$2*$AF$2+'Demand Base Matrix'!H$83*$W$2*$AC$2*$AD$2*$AE$2*$AF$2+'Demand Base Matrix'!H$84)))))</f>
        <v>60</v>
      </c>
      <c r="AL52">
        <f>IF($C52="Validate",(('Demand Base Matrix'!I$2+'Demand Base Matrix'!I$6)*$AC$2*$AD$2*$AE$2+('Demand Base Matrix'!I$3+'Demand Base Matrix'!I$4)*$W$2*$AD$2+'Demand Base Matrix'!I$5*$W$2*$AD$2*$AE$2+'Demand Base Matrix'!I$7+'Demand Base Matrix'!I$8*$AF$2),IF($C52="Integrate",(('Demand Base Matrix'!I$28+'Demand Base Matrix'!I$32)*$AC$2*$AD$2*$AE$2+('Demand Base Matrix'!I$29+'Demand Base Matrix'!I$30)*$W$2*$AD$2+'Demand Base Matrix'!I$31*$W$2*$AD$2*$AE$2+'Demand Base Matrix'!I$33+'Demand Base Matrix'!I$34*$AF$2),IF($C52="Bond",(('Demand Base Matrix'!I$55+'Demand Base Matrix'!I$59)*$AC$2*$AD$2*$AE$2+('Demand Base Matrix'!I$56+'Demand Base Matrix'!I$57)*$W$2*$AD$2+'Demand Base Matrix'!I$58*$W$2*$AD$2*$AE$2+'Demand Base Matrix'!I$60+'Demand Base Matrix'!I$61*$AF$2),IF($C52="Explore",('Demand Base Matrix'!I$82*$AC$2*$AD$2*$AE$2*$AF$2+'Demand Base Matrix'!I$83*$W$2*$AC$2*$AD$2*$AE$2*$AF$2+'Demand Base Matrix'!I$84)))))</f>
        <v>10</v>
      </c>
      <c r="AM52">
        <f>IF($C52="Validate",(('Demand Base Matrix'!J$2+'Demand Base Matrix'!J$6)*$AC$2*$AD$2*$AE$2+('Demand Base Matrix'!J$3+'Demand Base Matrix'!J$4)*$W$2*$AD$2+'Demand Base Matrix'!J$5*$W$2*$AD$2*$AE$2+'Demand Base Matrix'!J$7+'Demand Base Matrix'!J$8*$AF$2),IF($C52="Integrate",(('Demand Base Matrix'!J$28+'Demand Base Matrix'!J$32)*$AC$2*$AD$2*$AE$2+('Demand Base Matrix'!J$29+'Demand Base Matrix'!J$30)*$W$2*$AD$2+'Demand Base Matrix'!J$31*$W$2*$AD$2*$AE$2+'Demand Base Matrix'!J$33+'Demand Base Matrix'!J$34*$AF$2),IF($C52="Bond",(('Demand Base Matrix'!J$55+'Demand Base Matrix'!J$59)*$AC$2*$AD$2*$AE$2+('Demand Base Matrix'!J$56+'Demand Base Matrix'!J$57)*$W$2*$AD$2+'Demand Base Matrix'!J$58*$W$2*$AD$2*$AE$2+'Demand Base Matrix'!J$60+'Demand Base Matrix'!J$61*$AF$2),IF($C52="Explore",('Demand Base Matrix'!J$82*$AC$2*$AD$2*$AE$2*$AF$2+'Demand Base Matrix'!J$83*$W$2*$AC$2*$AD$2*$AE$2*$AF$2+'Demand Base Matrix'!J$84)))))</f>
        <v>4</v>
      </c>
      <c r="AP52" s="5"/>
      <c r="AQ52" s="5"/>
      <c r="AR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</row>
    <row r="53" spans="1:95" x14ac:dyDescent="0.2">
      <c r="A53" t="s">
        <v>764</v>
      </c>
      <c r="B53" t="s">
        <v>214</v>
      </c>
      <c r="C53" t="s">
        <v>20</v>
      </c>
      <c r="D53" t="s">
        <v>177</v>
      </c>
      <c r="E53" t="s">
        <v>207</v>
      </c>
      <c r="F53" t="s">
        <v>93</v>
      </c>
      <c r="I53" t="str">
        <f>IFERROR(INDEX('Customer 360'!F:F,MATCH(B53,'Customer 360'!A:A,0)),"-")</f>
        <v>C</v>
      </c>
      <c r="J53">
        <v>237</v>
      </c>
      <c r="K53"/>
      <c r="L53" s="4" t="s">
        <v>801</v>
      </c>
      <c r="M53" s="4">
        <v>46108</v>
      </c>
      <c r="N53">
        <v>2026</v>
      </c>
      <c r="O53" s="4">
        <v>46023</v>
      </c>
      <c r="P53" t="s">
        <v>217</v>
      </c>
      <c r="Q53" s="18">
        <f t="shared" si="0"/>
        <v>46023</v>
      </c>
      <c r="R53" s="18">
        <f>IFERROR(IF(M53&lt;&gt;"",M53,IF(L53&lt;&gt;"",L53,INDEX('CSM RDD'!B:B,MATCH(B53,'CSM RDD'!A:A,0)))),"-")</f>
        <v>46108</v>
      </c>
      <c r="S53" s="18">
        <f t="shared" si="7"/>
        <v>46023</v>
      </c>
      <c r="T53" s="18">
        <f t="shared" si="8"/>
        <v>46082</v>
      </c>
      <c r="U53" s="6">
        <f t="shared" si="9"/>
        <v>237</v>
      </c>
      <c r="V53" s="18">
        <f t="shared" si="18"/>
        <v>46023</v>
      </c>
      <c r="W53">
        <f>IF(U53=0,1,IF(U53&lt;='Demand Base Matrix'!$K$3,'Demand Base Matrix'!$L$3,IF(U53&lt;='Demand Base Matrix'!$K$4,'Demand Base Matrix'!$L$4,IF(U53&lt;='Demand Base Matrix'!$K$5,'Demand Base Matrix'!$L$5,IF(U53&lt;='Demand Base Matrix'!$K$6,'Demand Base Matrix'!$L$6,IF(U53&lt;='Demand Base Matrix'!$K$7,'Demand Base Matrix'!$L$7))))))</f>
        <v>0.75</v>
      </c>
      <c r="X53" s="4">
        <f t="shared" si="10"/>
        <v>46082</v>
      </c>
      <c r="Y53" t="str">
        <f t="shared" si="11"/>
        <v>Dx</v>
      </c>
      <c r="Z53" t="s">
        <v>685</v>
      </c>
      <c r="AA53" t="s">
        <v>685</v>
      </c>
      <c r="AB53" t="s">
        <v>685</v>
      </c>
      <c r="AC53">
        <f>IFERROR(INDEX('Demand Base Matrix'!AM:AM,MATCH(Y53,'Demand Base Matrix'!AL:AL,0)),"-")</f>
        <v>1</v>
      </c>
      <c r="AD53">
        <f>IFERROR(INDEX('Demand Base Matrix'!AO:AO,MATCH(Z53,'Demand Base Matrix'!AN:AN,0)),1)</f>
        <v>1</v>
      </c>
      <c r="AE53">
        <f>IFERROR(INDEX('Demand Base Matrix'!AQ:AQ,MATCH(AA53,'Demand Base Matrix'!AP:AP,0)),1)</f>
        <v>1</v>
      </c>
      <c r="AF53">
        <f>IFERROR(INDEX('Demand Base Matrix'!AS:AS,MATCH(AB53,'Demand Base Matrix'!AR:AR,0)),1)</f>
        <v>1</v>
      </c>
      <c r="AG53">
        <f>IF($C53="Validate",(('Demand Base Matrix'!D$2+'Demand Base Matrix'!D$6)*$AC$2*$AD$2*$AE$2+('Demand Base Matrix'!D$3+'Demand Base Matrix'!D$4)*$W$2*$AD$2+'Demand Base Matrix'!D$5*$W$2*$AD$2*$AE$2+'Demand Base Matrix'!D$7+'Demand Base Matrix'!D$8*$AF$2),IF($C53="Integrate",(('Demand Base Matrix'!D$28+'Demand Base Matrix'!D$32)*$AC$2*$AD$2*$AE$2+('Demand Base Matrix'!D$29+'Demand Base Matrix'!D$30)*$W$2*$AD$2+'Demand Base Matrix'!D$31*$W$2*$AD$2*$AE$2+'Demand Base Matrix'!D$33+'Demand Base Matrix'!D$34*$AF$2),IF($C53="Bond",(('Demand Base Matrix'!D$55+'Demand Base Matrix'!D$59)*$AC$2*$AD$2*$AE$2+('Demand Base Matrix'!D$56+'Demand Base Matrix'!D$57)*$W$2*$AD$2+'Demand Base Matrix'!D$58*$W$2*$AD$2*$AE$2+'Demand Base Matrix'!D$60+'Demand Base Matrix'!D$61*$AF$2),IF($C53="Explore",('Demand Base Matrix'!D$82*$AC$2*$AD$2*$AE$2*$AF$2+'Demand Base Matrix'!D$83*$W$2*$AC$2*$AD$2*$AE$2*$AF$2+'Demand Base Matrix'!D$84)))))</f>
        <v>15</v>
      </c>
      <c r="AH53">
        <f>IF($C53="Validate",(('Demand Base Matrix'!E$2+'Demand Base Matrix'!E$6)*$AC$2*$AD$2*$AE$2+('Demand Base Matrix'!E$3+'Demand Base Matrix'!E$4)*$W$2*$AD$2+'Demand Base Matrix'!E$5*$W$2*$AD$2*$AE$2+'Demand Base Matrix'!E$7+'Demand Base Matrix'!E$8*$AF$2),IF($C53="Integrate",(('Demand Base Matrix'!E$28+'Demand Base Matrix'!E$32)*$AC$2*$AD$2*$AE$2+('Demand Base Matrix'!E$29+'Demand Base Matrix'!E$30)*$W$2*$AD$2+'Demand Base Matrix'!E$31*$W$2*$AD$2*$AE$2+'Demand Base Matrix'!E$33+'Demand Base Matrix'!E$34*$AF$2),IF($C53="Bond",(('Demand Base Matrix'!E$55+'Demand Base Matrix'!E$59)*$AC$2*$AD$2*$AE$2+('Demand Base Matrix'!E$56+'Demand Base Matrix'!E$57)*$W$2*$AD$2+'Demand Base Matrix'!E$58*$W$2*$AD$2*$AE$2+'Demand Base Matrix'!E$60+'Demand Base Matrix'!E$61*$AF$2),IF($C53="Explore",('Demand Base Matrix'!E$82*$AC$2*$AD$2*$AE$2*$AF$2+'Demand Base Matrix'!E$83*$W$2*$AC$2*$AD$2*$AE$2*$AF$2+'Demand Base Matrix'!E$84)))))</f>
        <v>15</v>
      </c>
      <c r="AI53">
        <f>IF($C53="Validate",(('Demand Base Matrix'!F$2+'Demand Base Matrix'!F$6)*$AC$2*$AD$2*$AE$2+('Demand Base Matrix'!F$3+'Demand Base Matrix'!F$4)*$W$2*$AD$2+'Demand Base Matrix'!F$5*$W$2*$AD$2*$AE$2+'Demand Base Matrix'!F$7+'Demand Base Matrix'!F$8*$AF$2),IF($C53="Integrate",(('Demand Base Matrix'!F$28+'Demand Base Matrix'!F$32)*$AC$2*$AD$2*$AE$2+('Demand Base Matrix'!F$29+'Demand Base Matrix'!F$30)*$W$2*$AD$2+'Demand Base Matrix'!F$31*$W$2*$AD$2*$AE$2+'Demand Base Matrix'!F$33+'Demand Base Matrix'!F$34*$AF$2),IF($C53="Bond",(('Demand Base Matrix'!F$55+'Demand Base Matrix'!F$59)*$AC$2*$AD$2*$AE$2+('Demand Base Matrix'!F$56+'Demand Base Matrix'!F$57)*$W$2*$AD$2+'Demand Base Matrix'!F$58*$W$2*$AD$2*$AE$2+'Demand Base Matrix'!F$60+'Demand Base Matrix'!F$61*$AF$2),IF($C53="Explore",('Demand Base Matrix'!F$82*$AC$2*$AD$2*$AE$2*$AF$2+'Demand Base Matrix'!F$83*$W$2*$AC$2*$AD$2*$AE$2*$AF$2+'Demand Base Matrix'!F$84)))))</f>
        <v>7</v>
      </c>
      <c r="AJ53">
        <f>IF($C53="Validate",(('Demand Base Matrix'!G$2+'Demand Base Matrix'!G$6)*$AC$2*$AD$2*$AE$2+('Demand Base Matrix'!G$3+'Demand Base Matrix'!G$4)*$W$2*$AD$2+'Demand Base Matrix'!G$5*$W$2*$AD$2*$AE$2+'Demand Base Matrix'!G$7+'Demand Base Matrix'!G$8*$AF$2),IF($C53="Integrate",(('Demand Base Matrix'!G$28+'Demand Base Matrix'!G$32)*$AC$2*$AD$2*$AE$2+('Demand Base Matrix'!G$29+'Demand Base Matrix'!G$30)*$W$2*$AD$2+'Demand Base Matrix'!G$31*$W$2*$AD$2*$AE$2+'Demand Base Matrix'!G$33+'Demand Base Matrix'!G$34*$AF$2),IF($C53="Bond",(('Demand Base Matrix'!G$55+'Demand Base Matrix'!G$59)*$AC$2*$AD$2*$AE$2+('Demand Base Matrix'!G$56+'Demand Base Matrix'!G$57)*$W$2*$AD$2+'Demand Base Matrix'!G$58*$W$2*$AD$2*$AE$2+'Demand Base Matrix'!G$60+'Demand Base Matrix'!G$61*$AF$2),IF($C53="Explore",('Demand Base Matrix'!G$82*$AC$2*$AD$2*$AE$2*$AF$2+'Demand Base Matrix'!G$83*$W$2*$AC$2*$AD$2*$AE$2*$AF$2+'Demand Base Matrix'!G$84)))))</f>
        <v>40</v>
      </c>
      <c r="AK53">
        <f>IF($C53="Validate",(('Demand Base Matrix'!H$2+'Demand Base Matrix'!H$6)*$AC$2*$AD$2*$AE$2+('Demand Base Matrix'!H$3+'Demand Base Matrix'!H$4)*$W$2*$AD$2+'Demand Base Matrix'!H$5*$W$2*$AD$2*$AE$2+'Demand Base Matrix'!H$7+'Demand Base Matrix'!H$8*$AF$2),IF($C53="Integrate",(('Demand Base Matrix'!H$28+'Demand Base Matrix'!H$32)*$AC$2*$AD$2*$AE$2+('Demand Base Matrix'!H$29+'Demand Base Matrix'!H$30)*$W$2*$AD$2+'Demand Base Matrix'!H$31*$W$2*$AD$2*$AE$2+'Demand Base Matrix'!H$33+'Demand Base Matrix'!H$34*$AF$2),IF($C53="Bond",(('Demand Base Matrix'!H$55+'Demand Base Matrix'!H$59)*$AC$2*$AD$2*$AE$2+('Demand Base Matrix'!H$56+'Demand Base Matrix'!H$57)*$W$2*$AD$2+'Demand Base Matrix'!H$58*$W$2*$AD$2*$AE$2+'Demand Base Matrix'!H$60+'Demand Base Matrix'!H$61*$AF$2),IF($C53="Explore",('Demand Base Matrix'!H$82*$AC$2*$AD$2*$AE$2*$AF$2+'Demand Base Matrix'!H$83*$W$2*$AC$2*$AD$2*$AE$2*$AF$2+'Demand Base Matrix'!H$84)))))</f>
        <v>60</v>
      </c>
      <c r="AL53">
        <f>IF($C53="Validate",(('Demand Base Matrix'!I$2+'Demand Base Matrix'!I$6)*$AC$2*$AD$2*$AE$2+('Demand Base Matrix'!I$3+'Demand Base Matrix'!I$4)*$W$2*$AD$2+'Demand Base Matrix'!I$5*$W$2*$AD$2*$AE$2+'Demand Base Matrix'!I$7+'Demand Base Matrix'!I$8*$AF$2),IF($C53="Integrate",(('Demand Base Matrix'!I$28+'Demand Base Matrix'!I$32)*$AC$2*$AD$2*$AE$2+('Demand Base Matrix'!I$29+'Demand Base Matrix'!I$30)*$W$2*$AD$2+'Demand Base Matrix'!I$31*$W$2*$AD$2*$AE$2+'Demand Base Matrix'!I$33+'Demand Base Matrix'!I$34*$AF$2),IF($C53="Bond",(('Demand Base Matrix'!I$55+'Demand Base Matrix'!I$59)*$AC$2*$AD$2*$AE$2+('Demand Base Matrix'!I$56+'Demand Base Matrix'!I$57)*$W$2*$AD$2+'Demand Base Matrix'!I$58*$W$2*$AD$2*$AE$2+'Demand Base Matrix'!I$60+'Demand Base Matrix'!I$61*$AF$2),IF($C53="Explore",('Demand Base Matrix'!I$82*$AC$2*$AD$2*$AE$2*$AF$2+'Demand Base Matrix'!I$83*$W$2*$AC$2*$AD$2*$AE$2*$AF$2+'Demand Base Matrix'!I$84)))))</f>
        <v>10</v>
      </c>
      <c r="AM53">
        <f>IF($C53="Validate",(('Demand Base Matrix'!J$2+'Demand Base Matrix'!J$6)*$AC$2*$AD$2*$AE$2+('Demand Base Matrix'!J$3+'Demand Base Matrix'!J$4)*$W$2*$AD$2+'Demand Base Matrix'!J$5*$W$2*$AD$2*$AE$2+'Demand Base Matrix'!J$7+'Demand Base Matrix'!J$8*$AF$2),IF($C53="Integrate",(('Demand Base Matrix'!J$28+'Demand Base Matrix'!J$32)*$AC$2*$AD$2*$AE$2+('Demand Base Matrix'!J$29+'Demand Base Matrix'!J$30)*$W$2*$AD$2+'Demand Base Matrix'!J$31*$W$2*$AD$2*$AE$2+'Demand Base Matrix'!J$33+'Demand Base Matrix'!J$34*$AF$2),IF($C53="Bond",(('Demand Base Matrix'!J$55+'Demand Base Matrix'!J$59)*$AC$2*$AD$2*$AE$2+('Demand Base Matrix'!J$56+'Demand Base Matrix'!J$57)*$W$2*$AD$2+'Demand Base Matrix'!J$58*$W$2*$AD$2*$AE$2+'Demand Base Matrix'!J$60+'Demand Base Matrix'!J$61*$AF$2),IF($C53="Explore",('Demand Base Matrix'!J$82*$AC$2*$AD$2*$AE$2*$AF$2+'Demand Base Matrix'!J$83*$W$2*$AC$2*$AD$2*$AE$2*$AF$2+'Demand Base Matrix'!J$84)))))</f>
        <v>4</v>
      </c>
      <c r="AP53" s="5"/>
      <c r="AQ53" s="5"/>
      <c r="AR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</row>
    <row r="54" spans="1:95" x14ac:dyDescent="0.2">
      <c r="A54" t="s">
        <v>765</v>
      </c>
      <c r="B54" t="s">
        <v>80</v>
      </c>
      <c r="C54" t="s">
        <v>23</v>
      </c>
      <c r="D54" t="s">
        <v>179</v>
      </c>
      <c r="E54" t="s">
        <v>222</v>
      </c>
      <c r="F54" t="s">
        <v>799</v>
      </c>
      <c r="I54" t="str">
        <f>IFERROR(INDEX('Customer 360'!F:F,MATCH(B54,'Customer 360'!A:A,0)),"-")</f>
        <v>D</v>
      </c>
      <c r="J54">
        <v>750</v>
      </c>
      <c r="K54"/>
      <c r="L54" s="4">
        <v>46276</v>
      </c>
      <c r="M54" s="4">
        <v>46276</v>
      </c>
      <c r="N54">
        <v>2026</v>
      </c>
      <c r="O54" s="4">
        <v>46023</v>
      </c>
      <c r="P54" t="s">
        <v>217</v>
      </c>
      <c r="Q54" s="18">
        <f t="shared" si="0"/>
        <v>46023</v>
      </c>
      <c r="R54" s="18">
        <f>IFERROR(IF(M54&lt;&gt;"",M54,IF(L54&lt;&gt;"",L54,INDEX('CSM RDD'!B:B,MATCH(B54,'CSM RDD'!A:A,0)))),"-")</f>
        <v>46276</v>
      </c>
      <c r="S54" s="18">
        <f t="shared" si="7"/>
        <v>46023</v>
      </c>
      <c r="T54" s="18">
        <f t="shared" si="8"/>
        <v>46266</v>
      </c>
      <c r="U54" s="6">
        <f t="shared" si="9"/>
        <v>750</v>
      </c>
      <c r="V54" s="18">
        <f t="shared" si="18"/>
        <v>46082</v>
      </c>
      <c r="W54">
        <f>IF(U54=0,1,IF(U54&lt;='Demand Base Matrix'!$K$3,'Demand Base Matrix'!$L$3,IF(U54&lt;='Demand Base Matrix'!$K$4,'Demand Base Matrix'!$L$4,IF(U54&lt;='Demand Base Matrix'!$K$5,'Demand Base Matrix'!$L$5,IF(U54&lt;='Demand Base Matrix'!$K$6,'Demand Base Matrix'!$L$6,IF(U54&lt;='Demand Base Matrix'!$K$7,'Demand Base Matrix'!$L$7))))))</f>
        <v>0.75</v>
      </c>
      <c r="X54" s="4">
        <f t="shared" si="10"/>
        <v>46266</v>
      </c>
      <c r="Y54" t="str">
        <f t="shared" si="11"/>
        <v>Dx</v>
      </c>
      <c r="Z54" t="s">
        <v>685</v>
      </c>
      <c r="AA54" t="s">
        <v>685</v>
      </c>
      <c r="AB54" t="s">
        <v>685</v>
      </c>
      <c r="AC54">
        <f>IFERROR(INDEX('Demand Base Matrix'!AM:AM,MATCH(Y54,'Demand Base Matrix'!AL:AL,0)),"-")</f>
        <v>1</v>
      </c>
      <c r="AD54">
        <f>IFERROR(INDEX('Demand Base Matrix'!AO:AO,MATCH(Z54,'Demand Base Matrix'!AN:AN,0)),1)</f>
        <v>1</v>
      </c>
      <c r="AE54">
        <f>IFERROR(INDEX('Demand Base Matrix'!AQ:AQ,MATCH(AA54,'Demand Base Matrix'!AP:AP,0)),1)</f>
        <v>1</v>
      </c>
      <c r="AF54">
        <f>IFERROR(INDEX('Demand Base Matrix'!AS:AS,MATCH(AB54,'Demand Base Matrix'!AR:AR,0)),1)</f>
        <v>1</v>
      </c>
      <c r="AG54">
        <f>IF($C54="Validate",(('Demand Base Matrix'!D$2+'Demand Base Matrix'!D$6)*$AC$2*$AD$2*$AE$2+('Demand Base Matrix'!D$3+'Demand Base Matrix'!D$4)*$W$2*$AD$2+'Demand Base Matrix'!D$5*$W$2*$AD$2*$AE$2+'Demand Base Matrix'!D$7+'Demand Base Matrix'!D$8*$AF$2),IF($C54="Integrate",(('Demand Base Matrix'!D$28+'Demand Base Matrix'!D$32)*$AC$2*$AD$2*$AE$2+('Demand Base Matrix'!D$29+'Demand Base Matrix'!D$30)*$W$2*$AD$2+'Demand Base Matrix'!D$31*$W$2*$AD$2*$AE$2+'Demand Base Matrix'!D$33+'Demand Base Matrix'!D$34*$AF$2),IF($C54="Bond",(('Demand Base Matrix'!D$55+'Demand Base Matrix'!D$59)*$AC$2*$AD$2*$AE$2+('Demand Base Matrix'!D$56+'Demand Base Matrix'!D$57)*$W$2*$AD$2+'Demand Base Matrix'!D$58*$W$2*$AD$2*$AE$2+'Demand Base Matrix'!D$60+'Demand Base Matrix'!D$61*$AF$2),IF($C54="Explore",('Demand Base Matrix'!D$82*$AC$2*$AD$2*$AE$2*$AF$2+'Demand Base Matrix'!D$83*$W$2*$AC$2*$AD$2*$AE$2*$AF$2+'Demand Base Matrix'!D$84)))))</f>
        <v>10</v>
      </c>
      <c r="AH54">
        <f>IF($C54="Validate",(('Demand Base Matrix'!E$2+'Demand Base Matrix'!E$6)*$AC$2*$AD$2*$AE$2+('Demand Base Matrix'!E$3+'Demand Base Matrix'!E$4)*$W$2*$AD$2+'Demand Base Matrix'!E$5*$W$2*$AD$2*$AE$2+'Demand Base Matrix'!E$7+'Demand Base Matrix'!E$8*$AF$2),IF($C54="Integrate",(('Demand Base Matrix'!E$28+'Demand Base Matrix'!E$32)*$AC$2*$AD$2*$AE$2+('Demand Base Matrix'!E$29+'Demand Base Matrix'!E$30)*$W$2*$AD$2+'Demand Base Matrix'!E$31*$W$2*$AD$2*$AE$2+'Demand Base Matrix'!E$33+'Demand Base Matrix'!E$34*$AF$2),IF($C54="Bond",(('Demand Base Matrix'!E$55+'Demand Base Matrix'!E$59)*$AC$2*$AD$2*$AE$2+('Demand Base Matrix'!E$56+'Demand Base Matrix'!E$57)*$W$2*$AD$2+'Demand Base Matrix'!E$58*$W$2*$AD$2*$AE$2+'Demand Base Matrix'!E$60+'Demand Base Matrix'!E$61*$AF$2),IF($C54="Explore",('Demand Base Matrix'!E$82*$AC$2*$AD$2*$AE$2*$AF$2+'Demand Base Matrix'!E$83*$W$2*$AC$2*$AD$2*$AE$2*$AF$2+'Demand Base Matrix'!E$84)))))</f>
        <v>10</v>
      </c>
      <c r="AI54">
        <f>IF($C54="Validate",(('Demand Base Matrix'!F$2+'Demand Base Matrix'!F$6)*$AC$2*$AD$2*$AE$2+('Demand Base Matrix'!F$3+'Demand Base Matrix'!F$4)*$W$2*$AD$2+'Demand Base Matrix'!F$5*$W$2*$AD$2*$AE$2+'Demand Base Matrix'!F$7+'Demand Base Matrix'!F$8*$AF$2),IF($C54="Integrate",(('Demand Base Matrix'!F$28+'Demand Base Matrix'!F$32)*$AC$2*$AD$2*$AE$2+('Demand Base Matrix'!F$29+'Demand Base Matrix'!F$30)*$W$2*$AD$2+'Demand Base Matrix'!F$31*$W$2*$AD$2*$AE$2+'Demand Base Matrix'!F$33+'Demand Base Matrix'!F$34*$AF$2),IF($C54="Bond",(('Demand Base Matrix'!F$55+'Demand Base Matrix'!F$59)*$AC$2*$AD$2*$AE$2+('Demand Base Matrix'!F$56+'Demand Base Matrix'!F$57)*$W$2*$AD$2+'Demand Base Matrix'!F$58*$W$2*$AD$2*$AE$2+'Demand Base Matrix'!F$60+'Demand Base Matrix'!F$61*$AF$2),IF($C54="Explore",('Demand Base Matrix'!F$82*$AC$2*$AD$2*$AE$2*$AF$2+'Demand Base Matrix'!F$83*$W$2*$AC$2*$AD$2*$AE$2*$AF$2+'Demand Base Matrix'!F$84)))))</f>
        <v>10</v>
      </c>
      <c r="AJ54">
        <f>IF($C54="Validate",(('Demand Base Matrix'!G$2+'Demand Base Matrix'!G$6)*$AC$2*$AD$2*$AE$2+('Demand Base Matrix'!G$3+'Demand Base Matrix'!G$4)*$W$2*$AD$2+'Demand Base Matrix'!G$5*$W$2*$AD$2*$AE$2+'Demand Base Matrix'!G$7+'Demand Base Matrix'!G$8*$AF$2),IF($C54="Integrate",(('Demand Base Matrix'!G$28+'Demand Base Matrix'!G$32)*$AC$2*$AD$2*$AE$2+('Demand Base Matrix'!G$29+'Demand Base Matrix'!G$30)*$W$2*$AD$2+'Demand Base Matrix'!G$31*$W$2*$AD$2*$AE$2+'Demand Base Matrix'!G$33+'Demand Base Matrix'!G$34*$AF$2),IF($C54="Bond",(('Demand Base Matrix'!G$55+'Demand Base Matrix'!G$59)*$AC$2*$AD$2*$AE$2+('Demand Base Matrix'!G$56+'Demand Base Matrix'!G$57)*$W$2*$AD$2+'Demand Base Matrix'!G$58*$W$2*$AD$2*$AE$2+'Demand Base Matrix'!G$60+'Demand Base Matrix'!G$61*$AF$2),IF($C54="Explore",('Demand Base Matrix'!G$82*$AC$2*$AD$2*$AE$2*$AF$2+'Demand Base Matrix'!G$83*$W$2*$AC$2*$AD$2*$AE$2*$AF$2+'Demand Base Matrix'!G$84)))))</f>
        <v>50</v>
      </c>
      <c r="AK54">
        <f>IF($C54="Validate",(('Demand Base Matrix'!H$2+'Demand Base Matrix'!H$6)*$AC$2*$AD$2*$AE$2+('Demand Base Matrix'!H$3+'Demand Base Matrix'!H$4)*$W$2*$AD$2+'Demand Base Matrix'!H$5*$W$2*$AD$2*$AE$2+'Demand Base Matrix'!H$7+'Demand Base Matrix'!H$8*$AF$2),IF($C54="Integrate",(('Demand Base Matrix'!H$28+'Demand Base Matrix'!H$32)*$AC$2*$AD$2*$AE$2+('Demand Base Matrix'!H$29+'Demand Base Matrix'!H$30)*$W$2*$AD$2+'Demand Base Matrix'!H$31*$W$2*$AD$2*$AE$2+'Demand Base Matrix'!H$33+'Demand Base Matrix'!H$34*$AF$2),IF($C54="Bond",(('Demand Base Matrix'!H$55+'Demand Base Matrix'!H$59)*$AC$2*$AD$2*$AE$2+('Demand Base Matrix'!H$56+'Demand Base Matrix'!H$57)*$W$2*$AD$2+'Demand Base Matrix'!H$58*$W$2*$AD$2*$AE$2+'Demand Base Matrix'!H$60+'Demand Base Matrix'!H$61*$AF$2),IF($C54="Explore",('Demand Base Matrix'!H$82*$AC$2*$AD$2*$AE$2*$AF$2+'Demand Base Matrix'!H$83*$W$2*$AC$2*$AD$2*$AE$2*$AF$2+'Demand Base Matrix'!H$84)))))</f>
        <v>28</v>
      </c>
      <c r="AL54">
        <f>IF($C54="Validate",(('Demand Base Matrix'!I$2+'Demand Base Matrix'!I$6)*$AC$2*$AD$2*$AE$2+('Demand Base Matrix'!I$3+'Demand Base Matrix'!I$4)*$W$2*$AD$2+'Demand Base Matrix'!I$5*$W$2*$AD$2*$AE$2+'Demand Base Matrix'!I$7+'Demand Base Matrix'!I$8*$AF$2),IF($C54="Integrate",(('Demand Base Matrix'!I$28+'Demand Base Matrix'!I$32)*$AC$2*$AD$2*$AE$2+('Demand Base Matrix'!I$29+'Demand Base Matrix'!I$30)*$W$2*$AD$2+'Demand Base Matrix'!I$31*$W$2*$AD$2*$AE$2+'Demand Base Matrix'!I$33+'Demand Base Matrix'!I$34*$AF$2),IF($C54="Bond",(('Demand Base Matrix'!I$55+'Demand Base Matrix'!I$59)*$AC$2*$AD$2*$AE$2+('Demand Base Matrix'!I$56+'Demand Base Matrix'!I$57)*$W$2*$AD$2+'Demand Base Matrix'!I$58*$W$2*$AD$2*$AE$2+'Demand Base Matrix'!I$60+'Demand Base Matrix'!I$61*$AF$2),IF($C54="Explore",('Demand Base Matrix'!I$82*$AC$2*$AD$2*$AE$2*$AF$2+'Demand Base Matrix'!I$83*$W$2*$AC$2*$AD$2*$AE$2*$AF$2+'Demand Base Matrix'!I$84)))))</f>
        <v>8</v>
      </c>
      <c r="AM54">
        <f>IF($C54="Validate",(('Demand Base Matrix'!J$2+'Demand Base Matrix'!J$6)*$AC$2*$AD$2*$AE$2+('Demand Base Matrix'!J$3+'Demand Base Matrix'!J$4)*$W$2*$AD$2+'Demand Base Matrix'!J$5*$W$2*$AD$2*$AE$2+'Demand Base Matrix'!J$7+'Demand Base Matrix'!J$8*$AF$2),IF($C54="Integrate",(('Demand Base Matrix'!J$28+'Demand Base Matrix'!J$32)*$AC$2*$AD$2*$AE$2+('Demand Base Matrix'!J$29+'Demand Base Matrix'!J$30)*$W$2*$AD$2+'Demand Base Matrix'!J$31*$W$2*$AD$2*$AE$2+'Demand Base Matrix'!J$33+'Demand Base Matrix'!J$34*$AF$2),IF($C54="Bond",(('Demand Base Matrix'!J$55+'Demand Base Matrix'!J$59)*$AC$2*$AD$2*$AE$2+('Demand Base Matrix'!J$56+'Demand Base Matrix'!J$57)*$W$2*$AD$2+'Demand Base Matrix'!J$58*$W$2*$AD$2*$AE$2+'Demand Base Matrix'!J$60+'Demand Base Matrix'!J$61*$AF$2),IF($C54="Explore",('Demand Base Matrix'!J$82*$AC$2*$AD$2*$AE$2*$AF$2+'Demand Base Matrix'!J$83*$W$2*$AC$2*$AD$2*$AE$2*$AF$2+'Demand Base Matrix'!J$84)))))</f>
        <v>8</v>
      </c>
      <c r="AP54" s="5"/>
      <c r="AQ54" s="5"/>
      <c r="AR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</row>
    <row r="55" spans="1:95" x14ac:dyDescent="0.2">
      <c r="A55" t="s">
        <v>766</v>
      </c>
      <c r="B55" t="s">
        <v>81</v>
      </c>
      <c r="C55" t="s">
        <v>23</v>
      </c>
      <c r="D55" t="s">
        <v>179</v>
      </c>
      <c r="E55" t="s">
        <v>117</v>
      </c>
      <c r="F55" t="s">
        <v>184</v>
      </c>
      <c r="I55" t="str">
        <f>IFERROR(INDEX('Customer 360'!F:F,MATCH(B55,'Customer 360'!A:A,0)),"-")</f>
        <v>D</v>
      </c>
      <c r="J55">
        <v>2570</v>
      </c>
      <c r="K55">
        <v>0</v>
      </c>
      <c r="L55" s="4">
        <v>46209</v>
      </c>
      <c r="M55" s="4">
        <v>46209</v>
      </c>
      <c r="N55">
        <v>2026</v>
      </c>
      <c r="O55" s="4">
        <v>46023</v>
      </c>
      <c r="P55" t="s">
        <v>217</v>
      </c>
      <c r="Q55" s="18">
        <f t="shared" si="0"/>
        <v>46023</v>
      </c>
      <c r="R55" s="18">
        <f>IFERROR(IF(M55&lt;&gt;"",M55,IF(L55&lt;&gt;"",L55,INDEX('CSM RDD'!B:B,MATCH(B55,'CSM RDD'!A:A,0)))),"-")</f>
        <v>46209</v>
      </c>
      <c r="S55" s="18">
        <f t="shared" si="7"/>
        <v>46023</v>
      </c>
      <c r="T55" s="18">
        <f t="shared" si="8"/>
        <v>46204</v>
      </c>
      <c r="U55" s="6">
        <f t="shared" si="9"/>
        <v>2570</v>
      </c>
      <c r="V55" s="18">
        <f t="shared" si="18"/>
        <v>46082</v>
      </c>
      <c r="W55">
        <f>IF(U55=0,1,IF(U55&lt;='Demand Base Matrix'!$K$3,'Demand Base Matrix'!$L$3,IF(U55&lt;='Demand Base Matrix'!$K$4,'Demand Base Matrix'!$L$4,IF(U55&lt;='Demand Base Matrix'!$K$5,'Demand Base Matrix'!$L$5,IF(U55&lt;='Demand Base Matrix'!$K$6,'Demand Base Matrix'!$L$6,IF(U55&lt;='Demand Base Matrix'!$K$7,'Demand Base Matrix'!$L$7))))))</f>
        <v>1</v>
      </c>
      <c r="X55" s="4">
        <f t="shared" si="10"/>
        <v>46204</v>
      </c>
      <c r="Y55" t="str">
        <f t="shared" si="11"/>
        <v>Dx</v>
      </c>
      <c r="Z55" t="s">
        <v>685</v>
      </c>
      <c r="AA55" t="s">
        <v>685</v>
      </c>
      <c r="AB55" t="s">
        <v>685</v>
      </c>
      <c r="AC55">
        <f>IFERROR(INDEX('Demand Base Matrix'!AM:AM,MATCH(Y55,'Demand Base Matrix'!AL:AL,0)),"-")</f>
        <v>1</v>
      </c>
      <c r="AD55">
        <f>IFERROR(INDEX('Demand Base Matrix'!AO:AO,MATCH(Z55,'Demand Base Matrix'!AN:AN,0)),1)</f>
        <v>1</v>
      </c>
      <c r="AE55">
        <f>IFERROR(INDEX('Demand Base Matrix'!AQ:AQ,MATCH(AA55,'Demand Base Matrix'!AP:AP,0)),1)</f>
        <v>1</v>
      </c>
      <c r="AF55">
        <f>IFERROR(INDEX('Demand Base Matrix'!AS:AS,MATCH(AB55,'Demand Base Matrix'!AR:AR,0)),1)</f>
        <v>1</v>
      </c>
      <c r="AG55">
        <f>IF($C55="Validate",(('Demand Base Matrix'!D$2+'Demand Base Matrix'!D$6)*$AC$2*$AD$2*$AE$2+('Demand Base Matrix'!D$3+'Demand Base Matrix'!D$4)*$W$2*$AD$2+'Demand Base Matrix'!D$5*$W$2*$AD$2*$AE$2+'Demand Base Matrix'!D$7+'Demand Base Matrix'!D$8*$AF$2),IF($C55="Integrate",(('Demand Base Matrix'!D$28+'Demand Base Matrix'!D$32)*$AC$2*$AD$2*$AE$2+('Demand Base Matrix'!D$29+'Demand Base Matrix'!D$30)*$W$2*$AD$2+'Demand Base Matrix'!D$31*$W$2*$AD$2*$AE$2+'Demand Base Matrix'!D$33+'Demand Base Matrix'!D$34*$AF$2),IF($C55="Bond",(('Demand Base Matrix'!D$55+'Demand Base Matrix'!D$59)*$AC$2*$AD$2*$AE$2+('Demand Base Matrix'!D$56+'Demand Base Matrix'!D$57)*$W$2*$AD$2+'Demand Base Matrix'!D$58*$W$2*$AD$2*$AE$2+'Demand Base Matrix'!D$60+'Demand Base Matrix'!D$61*$AF$2),IF($C55="Explore",('Demand Base Matrix'!D$82*$AC$2*$AD$2*$AE$2*$AF$2+'Demand Base Matrix'!D$83*$W$2*$AC$2*$AD$2*$AE$2*$AF$2+'Demand Base Matrix'!D$84)))))</f>
        <v>10</v>
      </c>
      <c r="AH55">
        <f>IF($C55="Validate",(('Demand Base Matrix'!E$2+'Demand Base Matrix'!E$6)*$AC$2*$AD$2*$AE$2+('Demand Base Matrix'!E$3+'Demand Base Matrix'!E$4)*$W$2*$AD$2+'Demand Base Matrix'!E$5*$W$2*$AD$2*$AE$2+'Demand Base Matrix'!E$7+'Demand Base Matrix'!E$8*$AF$2),IF($C55="Integrate",(('Demand Base Matrix'!E$28+'Demand Base Matrix'!E$32)*$AC$2*$AD$2*$AE$2+('Demand Base Matrix'!E$29+'Demand Base Matrix'!E$30)*$W$2*$AD$2+'Demand Base Matrix'!E$31*$W$2*$AD$2*$AE$2+'Demand Base Matrix'!E$33+'Demand Base Matrix'!E$34*$AF$2),IF($C55="Bond",(('Demand Base Matrix'!E$55+'Demand Base Matrix'!E$59)*$AC$2*$AD$2*$AE$2+('Demand Base Matrix'!E$56+'Demand Base Matrix'!E$57)*$W$2*$AD$2+'Demand Base Matrix'!E$58*$W$2*$AD$2*$AE$2+'Demand Base Matrix'!E$60+'Demand Base Matrix'!E$61*$AF$2),IF($C55="Explore",('Demand Base Matrix'!E$82*$AC$2*$AD$2*$AE$2*$AF$2+'Demand Base Matrix'!E$83*$W$2*$AC$2*$AD$2*$AE$2*$AF$2+'Demand Base Matrix'!E$84)))))</f>
        <v>10</v>
      </c>
      <c r="AI55">
        <f>IF($C55="Validate",(('Demand Base Matrix'!F$2+'Demand Base Matrix'!F$6)*$AC$2*$AD$2*$AE$2+('Demand Base Matrix'!F$3+'Demand Base Matrix'!F$4)*$W$2*$AD$2+'Demand Base Matrix'!F$5*$W$2*$AD$2*$AE$2+'Demand Base Matrix'!F$7+'Demand Base Matrix'!F$8*$AF$2),IF($C55="Integrate",(('Demand Base Matrix'!F$28+'Demand Base Matrix'!F$32)*$AC$2*$AD$2*$AE$2+('Demand Base Matrix'!F$29+'Demand Base Matrix'!F$30)*$W$2*$AD$2+'Demand Base Matrix'!F$31*$W$2*$AD$2*$AE$2+'Demand Base Matrix'!F$33+'Demand Base Matrix'!F$34*$AF$2),IF($C55="Bond",(('Demand Base Matrix'!F$55+'Demand Base Matrix'!F$59)*$AC$2*$AD$2*$AE$2+('Demand Base Matrix'!F$56+'Demand Base Matrix'!F$57)*$W$2*$AD$2+'Demand Base Matrix'!F$58*$W$2*$AD$2*$AE$2+'Demand Base Matrix'!F$60+'Demand Base Matrix'!F$61*$AF$2),IF($C55="Explore",('Demand Base Matrix'!F$82*$AC$2*$AD$2*$AE$2*$AF$2+'Demand Base Matrix'!F$83*$W$2*$AC$2*$AD$2*$AE$2*$AF$2+'Demand Base Matrix'!F$84)))))</f>
        <v>10</v>
      </c>
      <c r="AJ55">
        <f>IF($C55="Validate",(('Demand Base Matrix'!G$2+'Demand Base Matrix'!G$6)*$AC$2*$AD$2*$AE$2+('Demand Base Matrix'!G$3+'Demand Base Matrix'!G$4)*$W$2*$AD$2+'Demand Base Matrix'!G$5*$W$2*$AD$2*$AE$2+'Demand Base Matrix'!G$7+'Demand Base Matrix'!G$8*$AF$2),IF($C55="Integrate",(('Demand Base Matrix'!G$28+'Demand Base Matrix'!G$32)*$AC$2*$AD$2*$AE$2+('Demand Base Matrix'!G$29+'Demand Base Matrix'!G$30)*$W$2*$AD$2+'Demand Base Matrix'!G$31*$W$2*$AD$2*$AE$2+'Demand Base Matrix'!G$33+'Demand Base Matrix'!G$34*$AF$2),IF($C55="Bond",(('Demand Base Matrix'!G$55+'Demand Base Matrix'!G$59)*$AC$2*$AD$2*$AE$2+('Demand Base Matrix'!G$56+'Demand Base Matrix'!G$57)*$W$2*$AD$2+'Demand Base Matrix'!G$58*$W$2*$AD$2*$AE$2+'Demand Base Matrix'!G$60+'Demand Base Matrix'!G$61*$AF$2),IF($C55="Explore",('Demand Base Matrix'!G$82*$AC$2*$AD$2*$AE$2*$AF$2+'Demand Base Matrix'!G$83*$W$2*$AC$2*$AD$2*$AE$2*$AF$2+'Demand Base Matrix'!G$84)))))</f>
        <v>50</v>
      </c>
      <c r="AK55">
        <f>IF($C55="Validate",(('Demand Base Matrix'!H$2+'Demand Base Matrix'!H$6)*$AC$2*$AD$2*$AE$2+('Demand Base Matrix'!H$3+'Demand Base Matrix'!H$4)*$W$2*$AD$2+'Demand Base Matrix'!H$5*$W$2*$AD$2*$AE$2+'Demand Base Matrix'!H$7+'Demand Base Matrix'!H$8*$AF$2),IF($C55="Integrate",(('Demand Base Matrix'!H$28+'Demand Base Matrix'!H$32)*$AC$2*$AD$2*$AE$2+('Demand Base Matrix'!H$29+'Demand Base Matrix'!H$30)*$W$2*$AD$2+'Demand Base Matrix'!H$31*$W$2*$AD$2*$AE$2+'Demand Base Matrix'!H$33+'Demand Base Matrix'!H$34*$AF$2),IF($C55="Bond",(('Demand Base Matrix'!H$55+'Demand Base Matrix'!H$59)*$AC$2*$AD$2*$AE$2+('Demand Base Matrix'!H$56+'Demand Base Matrix'!H$57)*$W$2*$AD$2+'Demand Base Matrix'!H$58*$W$2*$AD$2*$AE$2+'Demand Base Matrix'!H$60+'Demand Base Matrix'!H$61*$AF$2),IF($C55="Explore",('Demand Base Matrix'!H$82*$AC$2*$AD$2*$AE$2*$AF$2+'Demand Base Matrix'!H$83*$W$2*$AC$2*$AD$2*$AE$2*$AF$2+'Demand Base Matrix'!H$84)))))</f>
        <v>28</v>
      </c>
      <c r="AL55">
        <f>IF($C55="Validate",(('Demand Base Matrix'!I$2+'Demand Base Matrix'!I$6)*$AC$2*$AD$2*$AE$2+('Demand Base Matrix'!I$3+'Demand Base Matrix'!I$4)*$W$2*$AD$2+'Demand Base Matrix'!I$5*$W$2*$AD$2*$AE$2+'Demand Base Matrix'!I$7+'Demand Base Matrix'!I$8*$AF$2),IF($C55="Integrate",(('Demand Base Matrix'!I$28+'Demand Base Matrix'!I$32)*$AC$2*$AD$2*$AE$2+('Demand Base Matrix'!I$29+'Demand Base Matrix'!I$30)*$W$2*$AD$2+'Demand Base Matrix'!I$31*$W$2*$AD$2*$AE$2+'Demand Base Matrix'!I$33+'Demand Base Matrix'!I$34*$AF$2),IF($C55="Bond",(('Demand Base Matrix'!I$55+'Demand Base Matrix'!I$59)*$AC$2*$AD$2*$AE$2+('Demand Base Matrix'!I$56+'Demand Base Matrix'!I$57)*$W$2*$AD$2+'Demand Base Matrix'!I$58*$W$2*$AD$2*$AE$2+'Demand Base Matrix'!I$60+'Demand Base Matrix'!I$61*$AF$2),IF($C55="Explore",('Demand Base Matrix'!I$82*$AC$2*$AD$2*$AE$2*$AF$2+'Demand Base Matrix'!I$83*$W$2*$AC$2*$AD$2*$AE$2*$AF$2+'Demand Base Matrix'!I$84)))))</f>
        <v>8</v>
      </c>
      <c r="AM55">
        <f>IF($C55="Validate",(('Demand Base Matrix'!J$2+'Demand Base Matrix'!J$6)*$AC$2*$AD$2*$AE$2+('Demand Base Matrix'!J$3+'Demand Base Matrix'!J$4)*$W$2*$AD$2+'Demand Base Matrix'!J$5*$W$2*$AD$2*$AE$2+'Demand Base Matrix'!J$7+'Demand Base Matrix'!J$8*$AF$2),IF($C55="Integrate",(('Demand Base Matrix'!J$28+'Demand Base Matrix'!J$32)*$AC$2*$AD$2*$AE$2+('Demand Base Matrix'!J$29+'Demand Base Matrix'!J$30)*$W$2*$AD$2+'Demand Base Matrix'!J$31*$W$2*$AD$2*$AE$2+'Demand Base Matrix'!J$33+'Demand Base Matrix'!J$34*$AF$2),IF($C55="Bond",(('Demand Base Matrix'!J$55+'Demand Base Matrix'!J$59)*$AC$2*$AD$2*$AE$2+('Demand Base Matrix'!J$56+'Demand Base Matrix'!J$57)*$W$2*$AD$2+'Demand Base Matrix'!J$58*$W$2*$AD$2*$AE$2+'Demand Base Matrix'!J$60+'Demand Base Matrix'!J$61*$AF$2),IF($C55="Explore",('Demand Base Matrix'!J$82*$AC$2*$AD$2*$AE$2*$AF$2+'Demand Base Matrix'!J$83*$W$2*$AC$2*$AD$2*$AE$2*$AF$2+'Demand Base Matrix'!J$84)))))</f>
        <v>8</v>
      </c>
      <c r="AP55" s="5"/>
      <c r="AQ55" s="5"/>
      <c r="AR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</row>
    <row r="56" spans="1:95" x14ac:dyDescent="0.2">
      <c r="A56" t="s">
        <v>767</v>
      </c>
      <c r="B56" t="s">
        <v>196</v>
      </c>
      <c r="C56" t="s">
        <v>32</v>
      </c>
      <c r="D56" t="s">
        <v>177</v>
      </c>
      <c r="E56" t="s">
        <v>116</v>
      </c>
      <c r="F56" t="s">
        <v>180</v>
      </c>
      <c r="I56" t="str">
        <f>IFERROR(INDEX('Customer 360'!F:F,MATCH(B56,'Customer 360'!A:A,0)),"-")</f>
        <v>C</v>
      </c>
      <c r="J56">
        <v>697</v>
      </c>
      <c r="K56">
        <v>91</v>
      </c>
      <c r="L56" s="4">
        <v>46317</v>
      </c>
      <c r="M56" s="4">
        <v>46317</v>
      </c>
      <c r="N56">
        <v>2026</v>
      </c>
      <c r="O56" s="4">
        <v>46023</v>
      </c>
      <c r="P56" t="s">
        <v>217</v>
      </c>
      <c r="Q56" s="18">
        <f t="shared" si="0"/>
        <v>46023</v>
      </c>
      <c r="R56" s="18">
        <f>IFERROR(IF(M56&lt;&gt;"",M56,IF(L56&lt;&gt;"",L56,INDEX('CSM RDD'!B:B,MATCH(B56,'CSM RDD'!A:A,0)))),"-")</f>
        <v>46317</v>
      </c>
      <c r="S56" s="18">
        <f t="shared" si="7"/>
        <v>46023</v>
      </c>
      <c r="T56" s="18">
        <f t="shared" si="8"/>
        <v>46296</v>
      </c>
      <c r="U56" s="6">
        <f t="shared" si="9"/>
        <v>788</v>
      </c>
      <c r="V56" s="18">
        <f t="shared" si="18"/>
        <v>46082</v>
      </c>
      <c r="W56">
        <f>IF(U56=0,1,IF(U56&lt;='Demand Base Matrix'!$K$3,'Demand Base Matrix'!$L$3,IF(U56&lt;='Demand Base Matrix'!$K$4,'Demand Base Matrix'!$L$4,IF(U56&lt;='Demand Base Matrix'!$K$5,'Demand Base Matrix'!$L$5,IF(U56&lt;='Demand Base Matrix'!$K$6,'Demand Base Matrix'!$L$6,IF(U56&lt;='Demand Base Matrix'!$K$7,'Demand Base Matrix'!$L$7))))))</f>
        <v>0.75</v>
      </c>
      <c r="X56" s="4">
        <f t="shared" si="10"/>
        <v>46296</v>
      </c>
      <c r="Y56" t="str">
        <f t="shared" si="11"/>
        <v>Tx</v>
      </c>
      <c r="Z56" t="s">
        <v>685</v>
      </c>
      <c r="AA56" t="s">
        <v>685</v>
      </c>
      <c r="AB56" t="s">
        <v>685</v>
      </c>
      <c r="AC56">
        <f>IFERROR(INDEX('Demand Base Matrix'!AM:AM,MATCH(Y56,'Demand Base Matrix'!AL:AL,0)),"-")</f>
        <v>1.5</v>
      </c>
      <c r="AD56">
        <f>IFERROR(INDEX('Demand Base Matrix'!AO:AO,MATCH(Z56,'Demand Base Matrix'!AN:AN,0)),1)</f>
        <v>1</v>
      </c>
      <c r="AE56">
        <f>IFERROR(INDEX('Demand Base Matrix'!AQ:AQ,MATCH(AA56,'Demand Base Matrix'!AP:AP,0)),1)</f>
        <v>1</v>
      </c>
      <c r="AF56">
        <f>IFERROR(INDEX('Demand Base Matrix'!AS:AS,MATCH(AB56,'Demand Base Matrix'!AR:AR,0)),1)</f>
        <v>1</v>
      </c>
      <c r="AG56">
        <f>IF($C56="Validate",(('Demand Base Matrix'!D$2+'Demand Base Matrix'!D$6)*$AC$2*$AD$2*$AE$2+('Demand Base Matrix'!D$3+'Demand Base Matrix'!D$4)*$W$2*$AD$2+'Demand Base Matrix'!D$5*$W$2*$AD$2*$AE$2+'Demand Base Matrix'!D$7+'Demand Base Matrix'!D$8*$AF$2),IF($C56="Integrate",(('Demand Base Matrix'!D$28+'Demand Base Matrix'!D$32)*$AC$2*$AD$2*$AE$2+('Demand Base Matrix'!D$29+'Demand Base Matrix'!D$30)*$W$2*$AD$2+'Demand Base Matrix'!D$31*$W$2*$AD$2*$AE$2+'Demand Base Matrix'!D$33+'Demand Base Matrix'!D$34*$AF$2),IF($C56="Bond",(('Demand Base Matrix'!D$55+'Demand Base Matrix'!D$59)*$AC$2*$AD$2*$AE$2+('Demand Base Matrix'!D$56+'Demand Base Matrix'!D$57)*$W$2*$AD$2+'Demand Base Matrix'!D$58*$W$2*$AD$2*$AE$2+'Demand Base Matrix'!D$60+'Demand Base Matrix'!D$61*$AF$2),IF($C56="Explore",('Demand Base Matrix'!D$82*$AC$2*$AD$2*$AE$2*$AF$2+'Demand Base Matrix'!D$83*$W$2*$AC$2*$AD$2*$AE$2*$AF$2+'Demand Base Matrix'!D$84)))))</f>
        <v>10</v>
      </c>
      <c r="AH56">
        <f>IF($C56="Validate",(('Demand Base Matrix'!E$2+'Demand Base Matrix'!E$6)*$AC$2*$AD$2*$AE$2+('Demand Base Matrix'!E$3+'Demand Base Matrix'!E$4)*$W$2*$AD$2+'Demand Base Matrix'!E$5*$W$2*$AD$2*$AE$2+'Demand Base Matrix'!E$7+'Demand Base Matrix'!E$8*$AF$2),IF($C56="Integrate",(('Demand Base Matrix'!E$28+'Demand Base Matrix'!E$32)*$AC$2*$AD$2*$AE$2+('Demand Base Matrix'!E$29+'Demand Base Matrix'!E$30)*$W$2*$AD$2+'Demand Base Matrix'!E$31*$W$2*$AD$2*$AE$2+'Demand Base Matrix'!E$33+'Demand Base Matrix'!E$34*$AF$2),IF($C56="Bond",(('Demand Base Matrix'!E$55+'Demand Base Matrix'!E$59)*$AC$2*$AD$2*$AE$2+('Demand Base Matrix'!E$56+'Demand Base Matrix'!E$57)*$W$2*$AD$2+'Demand Base Matrix'!E$58*$W$2*$AD$2*$AE$2+'Demand Base Matrix'!E$60+'Demand Base Matrix'!E$61*$AF$2),IF($C56="Explore",('Demand Base Matrix'!E$82*$AC$2*$AD$2*$AE$2*$AF$2+'Demand Base Matrix'!E$83*$W$2*$AC$2*$AD$2*$AE$2*$AF$2+'Demand Base Matrix'!E$84)))))</f>
        <v>20</v>
      </c>
      <c r="AI56">
        <f>IF($C56="Validate",(('Demand Base Matrix'!F$2+'Demand Base Matrix'!F$6)*$AC$2*$AD$2*$AE$2+('Demand Base Matrix'!F$3+'Demand Base Matrix'!F$4)*$W$2*$AD$2+'Demand Base Matrix'!F$5*$W$2*$AD$2*$AE$2+'Demand Base Matrix'!F$7+'Demand Base Matrix'!F$8*$AF$2),IF($C56="Integrate",(('Demand Base Matrix'!F$28+'Demand Base Matrix'!F$32)*$AC$2*$AD$2*$AE$2+('Demand Base Matrix'!F$29+'Demand Base Matrix'!F$30)*$W$2*$AD$2+'Demand Base Matrix'!F$31*$W$2*$AD$2*$AE$2+'Demand Base Matrix'!F$33+'Demand Base Matrix'!F$34*$AF$2),IF($C56="Bond",(('Demand Base Matrix'!F$55+'Demand Base Matrix'!F$59)*$AC$2*$AD$2*$AE$2+('Demand Base Matrix'!F$56+'Demand Base Matrix'!F$57)*$W$2*$AD$2+'Demand Base Matrix'!F$58*$W$2*$AD$2*$AE$2+'Demand Base Matrix'!F$60+'Demand Base Matrix'!F$61*$AF$2),IF($C56="Explore",('Demand Base Matrix'!F$82*$AC$2*$AD$2*$AE$2*$AF$2+'Demand Base Matrix'!F$83*$W$2*$AC$2*$AD$2*$AE$2*$AF$2+'Demand Base Matrix'!F$84)))))</f>
        <v>10</v>
      </c>
      <c r="AJ56">
        <f>IF($C56="Validate",(('Demand Base Matrix'!G$2+'Demand Base Matrix'!G$6)*$AC$2*$AD$2*$AE$2+('Demand Base Matrix'!G$3+'Demand Base Matrix'!G$4)*$W$2*$AD$2+'Demand Base Matrix'!G$5*$W$2*$AD$2*$AE$2+'Demand Base Matrix'!G$7+'Demand Base Matrix'!G$8*$AF$2),IF($C56="Integrate",(('Demand Base Matrix'!G$28+'Demand Base Matrix'!G$32)*$AC$2*$AD$2*$AE$2+('Demand Base Matrix'!G$29+'Demand Base Matrix'!G$30)*$W$2*$AD$2+'Demand Base Matrix'!G$31*$W$2*$AD$2*$AE$2+'Demand Base Matrix'!G$33+'Demand Base Matrix'!G$34*$AF$2),IF($C56="Bond",(('Demand Base Matrix'!G$55+'Demand Base Matrix'!G$59)*$AC$2*$AD$2*$AE$2+('Demand Base Matrix'!G$56+'Demand Base Matrix'!G$57)*$W$2*$AD$2+'Demand Base Matrix'!G$58*$W$2*$AD$2*$AE$2+'Demand Base Matrix'!G$60+'Demand Base Matrix'!G$61*$AF$2),IF($C56="Explore",('Demand Base Matrix'!G$82*$AC$2*$AD$2*$AE$2*$AF$2+'Demand Base Matrix'!G$83*$W$2*$AC$2*$AD$2*$AE$2*$AF$2+'Demand Base Matrix'!G$84)))))</f>
        <v>60</v>
      </c>
      <c r="AK56">
        <f>IF($C56="Validate",(('Demand Base Matrix'!H$2+'Demand Base Matrix'!H$6)*$AC$2*$AD$2*$AE$2+('Demand Base Matrix'!H$3+'Demand Base Matrix'!H$4)*$W$2*$AD$2+'Demand Base Matrix'!H$5*$W$2*$AD$2*$AE$2+'Demand Base Matrix'!H$7+'Demand Base Matrix'!H$8*$AF$2),IF($C56="Integrate",(('Demand Base Matrix'!H$28+'Demand Base Matrix'!H$32)*$AC$2*$AD$2*$AE$2+('Demand Base Matrix'!H$29+'Demand Base Matrix'!H$30)*$W$2*$AD$2+'Demand Base Matrix'!H$31*$W$2*$AD$2*$AE$2+'Demand Base Matrix'!H$33+'Demand Base Matrix'!H$34*$AF$2),IF($C56="Bond",(('Demand Base Matrix'!H$55+'Demand Base Matrix'!H$59)*$AC$2*$AD$2*$AE$2+('Demand Base Matrix'!H$56+'Demand Base Matrix'!H$57)*$W$2*$AD$2+'Demand Base Matrix'!H$58*$W$2*$AD$2*$AE$2+'Demand Base Matrix'!H$60+'Demand Base Matrix'!H$61*$AF$2),IF($C56="Explore",('Demand Base Matrix'!H$82*$AC$2*$AD$2*$AE$2*$AF$2+'Demand Base Matrix'!H$83*$W$2*$AC$2*$AD$2*$AE$2*$AF$2+'Demand Base Matrix'!H$84)))))</f>
        <v>28</v>
      </c>
      <c r="AL56">
        <f>IF($C56="Validate",(('Demand Base Matrix'!I$2+'Demand Base Matrix'!I$6)*$AC$2*$AD$2*$AE$2+('Demand Base Matrix'!I$3+'Demand Base Matrix'!I$4)*$W$2*$AD$2+'Demand Base Matrix'!I$5*$W$2*$AD$2*$AE$2+'Demand Base Matrix'!I$7+'Demand Base Matrix'!I$8*$AF$2),IF($C56="Integrate",(('Demand Base Matrix'!I$28+'Demand Base Matrix'!I$32)*$AC$2*$AD$2*$AE$2+('Demand Base Matrix'!I$29+'Demand Base Matrix'!I$30)*$W$2*$AD$2+'Demand Base Matrix'!I$31*$W$2*$AD$2*$AE$2+'Demand Base Matrix'!I$33+'Demand Base Matrix'!I$34*$AF$2),IF($C56="Bond",(('Demand Base Matrix'!I$55+'Demand Base Matrix'!I$59)*$AC$2*$AD$2*$AE$2+('Demand Base Matrix'!I$56+'Demand Base Matrix'!I$57)*$W$2*$AD$2+'Demand Base Matrix'!I$58*$W$2*$AD$2*$AE$2+'Demand Base Matrix'!I$60+'Demand Base Matrix'!I$61*$AF$2),IF($C56="Explore",('Demand Base Matrix'!I$82*$AC$2*$AD$2*$AE$2*$AF$2+'Demand Base Matrix'!I$83*$W$2*$AC$2*$AD$2*$AE$2*$AF$2+'Demand Base Matrix'!I$84)))))</f>
        <v>8</v>
      </c>
      <c r="AM56">
        <f>IF($C56="Validate",(('Demand Base Matrix'!J$2+'Demand Base Matrix'!J$6)*$AC$2*$AD$2*$AE$2+('Demand Base Matrix'!J$3+'Demand Base Matrix'!J$4)*$W$2*$AD$2+'Demand Base Matrix'!J$5*$W$2*$AD$2*$AE$2+'Demand Base Matrix'!J$7+'Demand Base Matrix'!J$8*$AF$2),IF($C56="Integrate",(('Demand Base Matrix'!J$28+'Demand Base Matrix'!J$32)*$AC$2*$AD$2*$AE$2+('Demand Base Matrix'!J$29+'Demand Base Matrix'!J$30)*$W$2*$AD$2+'Demand Base Matrix'!J$31*$W$2*$AD$2*$AE$2+'Demand Base Matrix'!J$33+'Demand Base Matrix'!J$34*$AF$2),IF($C56="Bond",(('Demand Base Matrix'!J$55+'Demand Base Matrix'!J$59)*$AC$2*$AD$2*$AE$2+('Demand Base Matrix'!J$56+'Demand Base Matrix'!J$57)*$W$2*$AD$2+'Demand Base Matrix'!J$58*$W$2*$AD$2*$AE$2+'Demand Base Matrix'!J$60+'Demand Base Matrix'!J$61*$AF$2),IF($C56="Explore",('Demand Base Matrix'!J$82*$AC$2*$AD$2*$AE$2*$AF$2+'Demand Base Matrix'!J$83*$W$2*$AC$2*$AD$2*$AE$2*$AF$2+'Demand Base Matrix'!J$84)))))</f>
        <v>8</v>
      </c>
      <c r="AP56" s="5"/>
      <c r="AQ56" s="5"/>
      <c r="AR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</row>
    <row r="57" spans="1:95" s="30" customFormat="1" x14ac:dyDescent="0.2">
      <c r="A57" t="s">
        <v>768</v>
      </c>
      <c r="B57" t="s">
        <v>197</v>
      </c>
      <c r="C57" t="s">
        <v>23</v>
      </c>
      <c r="D57" t="s">
        <v>694</v>
      </c>
      <c r="E57" t="s">
        <v>118</v>
      </c>
      <c r="F57" t="s">
        <v>800</v>
      </c>
      <c r="H57"/>
      <c r="I57" t="str">
        <f>IFERROR(INDEX('Customer 360'!F:F,MATCH(B57,'Customer 360'!A:A,0)),"-")</f>
        <v>C</v>
      </c>
      <c r="J57">
        <v>563</v>
      </c>
      <c r="K57">
        <v>63</v>
      </c>
      <c r="L57" s="4">
        <v>46266</v>
      </c>
      <c r="M57" s="4">
        <v>46266</v>
      </c>
      <c r="N57">
        <v>2026</v>
      </c>
      <c r="O57" s="4">
        <v>46023</v>
      </c>
      <c r="P57" t="s">
        <v>217</v>
      </c>
      <c r="Q57" s="18">
        <f t="shared" si="0"/>
        <v>46023</v>
      </c>
      <c r="R57" s="18">
        <f>IFERROR(IF(M57&lt;&gt;"",M57,IF(L57&lt;&gt;"",L57,INDEX('CSM RDD'!B:B,MATCH(B57,'CSM RDD'!A:A,0)))),"-")</f>
        <v>46266</v>
      </c>
      <c r="S57" s="18">
        <f t="shared" si="7"/>
        <v>46023</v>
      </c>
      <c r="T57" s="18">
        <f t="shared" si="8"/>
        <v>46266</v>
      </c>
      <c r="U57" s="6">
        <f t="shared" si="9"/>
        <v>626</v>
      </c>
      <c r="V57" s="18">
        <f t="shared" si="18"/>
        <v>46082</v>
      </c>
      <c r="W57">
        <f>IF(U57=0,1,IF(U57&lt;='Demand Base Matrix'!$K$3,'Demand Base Matrix'!$L$3,IF(U57&lt;='Demand Base Matrix'!$K$4,'Demand Base Matrix'!$L$4,IF(U57&lt;='Demand Base Matrix'!$K$5,'Demand Base Matrix'!$L$5,IF(U57&lt;='Demand Base Matrix'!$K$6,'Demand Base Matrix'!$L$6,IF(U57&lt;='Demand Base Matrix'!$K$7,'Demand Base Matrix'!$L$7))))))</f>
        <v>0.75</v>
      </c>
      <c r="X57" s="4">
        <f t="shared" si="10"/>
        <v>46266</v>
      </c>
      <c r="Y57" t="str">
        <f t="shared" si="11"/>
        <v>Tx</v>
      </c>
      <c r="Z57" t="s">
        <v>685</v>
      </c>
      <c r="AA57" t="s">
        <v>685</v>
      </c>
      <c r="AB57" t="s">
        <v>685</v>
      </c>
      <c r="AC57">
        <f>IFERROR(INDEX('Demand Base Matrix'!AM:AM,MATCH(Y57,'Demand Base Matrix'!AL:AL,0)),"-")</f>
        <v>1.5</v>
      </c>
      <c r="AD57">
        <f>IFERROR(INDEX('Demand Base Matrix'!AO:AO,MATCH(Z57,'Demand Base Matrix'!AN:AN,0)),1)</f>
        <v>1</v>
      </c>
      <c r="AE57">
        <f>IFERROR(INDEX('Demand Base Matrix'!AQ:AQ,MATCH(AA57,'Demand Base Matrix'!AP:AP,0)),1)</f>
        <v>1</v>
      </c>
      <c r="AF57">
        <f>IFERROR(INDEX('Demand Base Matrix'!AS:AS,MATCH(AB57,'Demand Base Matrix'!AR:AR,0)),1)</f>
        <v>1</v>
      </c>
      <c r="AG57">
        <f>IF($C57="Validate",(('Demand Base Matrix'!D$2+'Demand Base Matrix'!D$6)*$AC$2*$AD$2*$AE$2+('Demand Base Matrix'!D$3+'Demand Base Matrix'!D$4)*$W$2*$AD$2+'Demand Base Matrix'!D$5*$W$2*$AD$2*$AE$2+'Demand Base Matrix'!D$7+'Demand Base Matrix'!D$8*$AF$2),IF($C57="Integrate",(('Demand Base Matrix'!D$28+'Demand Base Matrix'!D$32)*$AC$2*$AD$2*$AE$2+('Demand Base Matrix'!D$29+'Demand Base Matrix'!D$30)*$W$2*$AD$2+'Demand Base Matrix'!D$31*$W$2*$AD$2*$AE$2+'Demand Base Matrix'!D$33+'Demand Base Matrix'!D$34*$AF$2),IF($C57="Bond",(('Demand Base Matrix'!D$55+'Demand Base Matrix'!D$59)*$AC$2*$AD$2*$AE$2+('Demand Base Matrix'!D$56+'Demand Base Matrix'!D$57)*$W$2*$AD$2+'Demand Base Matrix'!D$58*$W$2*$AD$2*$AE$2+'Demand Base Matrix'!D$60+'Demand Base Matrix'!D$61*$AF$2),IF($C57="Explore",('Demand Base Matrix'!D$82*$AC$2*$AD$2*$AE$2*$AF$2+'Demand Base Matrix'!D$83*$W$2*$AC$2*$AD$2*$AE$2*$AF$2+'Demand Base Matrix'!D$84)))))</f>
        <v>10</v>
      </c>
      <c r="AH57">
        <f>IF($C57="Validate",(('Demand Base Matrix'!E$2+'Demand Base Matrix'!E$6)*$AC$2*$AD$2*$AE$2+('Demand Base Matrix'!E$3+'Demand Base Matrix'!E$4)*$W$2*$AD$2+'Demand Base Matrix'!E$5*$W$2*$AD$2*$AE$2+'Demand Base Matrix'!E$7+'Demand Base Matrix'!E$8*$AF$2),IF($C57="Integrate",(('Demand Base Matrix'!E$28+'Demand Base Matrix'!E$32)*$AC$2*$AD$2*$AE$2+('Demand Base Matrix'!E$29+'Demand Base Matrix'!E$30)*$W$2*$AD$2+'Demand Base Matrix'!E$31*$W$2*$AD$2*$AE$2+'Demand Base Matrix'!E$33+'Demand Base Matrix'!E$34*$AF$2),IF($C57="Bond",(('Demand Base Matrix'!E$55+'Demand Base Matrix'!E$59)*$AC$2*$AD$2*$AE$2+('Demand Base Matrix'!E$56+'Demand Base Matrix'!E$57)*$W$2*$AD$2+'Demand Base Matrix'!E$58*$W$2*$AD$2*$AE$2+'Demand Base Matrix'!E$60+'Demand Base Matrix'!E$61*$AF$2),IF($C57="Explore",('Demand Base Matrix'!E$82*$AC$2*$AD$2*$AE$2*$AF$2+'Demand Base Matrix'!E$83*$W$2*$AC$2*$AD$2*$AE$2*$AF$2+'Demand Base Matrix'!E$84)))))</f>
        <v>10</v>
      </c>
      <c r="AI57">
        <f>IF($C57="Validate",(('Demand Base Matrix'!F$2+'Demand Base Matrix'!F$6)*$AC$2*$AD$2*$AE$2+('Demand Base Matrix'!F$3+'Demand Base Matrix'!F$4)*$W$2*$AD$2+'Demand Base Matrix'!F$5*$W$2*$AD$2*$AE$2+'Demand Base Matrix'!F$7+'Demand Base Matrix'!F$8*$AF$2),IF($C57="Integrate",(('Demand Base Matrix'!F$28+'Demand Base Matrix'!F$32)*$AC$2*$AD$2*$AE$2+('Demand Base Matrix'!F$29+'Demand Base Matrix'!F$30)*$W$2*$AD$2+'Demand Base Matrix'!F$31*$W$2*$AD$2*$AE$2+'Demand Base Matrix'!F$33+'Demand Base Matrix'!F$34*$AF$2),IF($C57="Bond",(('Demand Base Matrix'!F$55+'Demand Base Matrix'!F$59)*$AC$2*$AD$2*$AE$2+('Demand Base Matrix'!F$56+'Demand Base Matrix'!F$57)*$W$2*$AD$2+'Demand Base Matrix'!F$58*$W$2*$AD$2*$AE$2+'Demand Base Matrix'!F$60+'Demand Base Matrix'!F$61*$AF$2),IF($C57="Explore",('Demand Base Matrix'!F$82*$AC$2*$AD$2*$AE$2*$AF$2+'Demand Base Matrix'!F$83*$W$2*$AC$2*$AD$2*$AE$2*$AF$2+'Demand Base Matrix'!F$84)))))</f>
        <v>10</v>
      </c>
      <c r="AJ57">
        <f>IF($C57="Validate",(('Demand Base Matrix'!G$2+'Demand Base Matrix'!G$6)*$AC$2*$AD$2*$AE$2+('Demand Base Matrix'!G$3+'Demand Base Matrix'!G$4)*$W$2*$AD$2+'Demand Base Matrix'!G$5*$W$2*$AD$2*$AE$2+'Demand Base Matrix'!G$7+'Demand Base Matrix'!G$8*$AF$2),IF($C57="Integrate",(('Demand Base Matrix'!G$28+'Demand Base Matrix'!G$32)*$AC$2*$AD$2*$AE$2+('Demand Base Matrix'!G$29+'Demand Base Matrix'!G$30)*$W$2*$AD$2+'Demand Base Matrix'!G$31*$W$2*$AD$2*$AE$2+'Demand Base Matrix'!G$33+'Demand Base Matrix'!G$34*$AF$2),IF($C57="Bond",(('Demand Base Matrix'!G$55+'Demand Base Matrix'!G$59)*$AC$2*$AD$2*$AE$2+('Demand Base Matrix'!G$56+'Demand Base Matrix'!G$57)*$W$2*$AD$2+'Demand Base Matrix'!G$58*$W$2*$AD$2*$AE$2+'Demand Base Matrix'!G$60+'Demand Base Matrix'!G$61*$AF$2),IF($C57="Explore",('Demand Base Matrix'!G$82*$AC$2*$AD$2*$AE$2*$AF$2+'Demand Base Matrix'!G$83*$W$2*$AC$2*$AD$2*$AE$2*$AF$2+'Demand Base Matrix'!G$84)))))</f>
        <v>50</v>
      </c>
      <c r="AK57">
        <f>IF($C57="Validate",(('Demand Base Matrix'!H$2+'Demand Base Matrix'!H$6)*$AC$2*$AD$2*$AE$2+('Demand Base Matrix'!H$3+'Demand Base Matrix'!H$4)*$W$2*$AD$2+'Demand Base Matrix'!H$5*$W$2*$AD$2*$AE$2+'Demand Base Matrix'!H$7+'Demand Base Matrix'!H$8*$AF$2),IF($C57="Integrate",(('Demand Base Matrix'!H$28+'Demand Base Matrix'!H$32)*$AC$2*$AD$2*$AE$2+('Demand Base Matrix'!H$29+'Demand Base Matrix'!H$30)*$W$2*$AD$2+'Demand Base Matrix'!H$31*$W$2*$AD$2*$AE$2+'Demand Base Matrix'!H$33+'Demand Base Matrix'!H$34*$AF$2),IF($C57="Bond",(('Demand Base Matrix'!H$55+'Demand Base Matrix'!H$59)*$AC$2*$AD$2*$AE$2+('Demand Base Matrix'!H$56+'Demand Base Matrix'!H$57)*$W$2*$AD$2+'Demand Base Matrix'!H$58*$W$2*$AD$2*$AE$2+'Demand Base Matrix'!H$60+'Demand Base Matrix'!H$61*$AF$2),IF($C57="Explore",('Demand Base Matrix'!H$82*$AC$2*$AD$2*$AE$2*$AF$2+'Demand Base Matrix'!H$83*$W$2*$AC$2*$AD$2*$AE$2*$AF$2+'Demand Base Matrix'!H$84)))))</f>
        <v>28</v>
      </c>
      <c r="AL57">
        <f>IF($C57="Validate",(('Demand Base Matrix'!I$2+'Demand Base Matrix'!I$6)*$AC$2*$AD$2*$AE$2+('Demand Base Matrix'!I$3+'Demand Base Matrix'!I$4)*$W$2*$AD$2+'Demand Base Matrix'!I$5*$W$2*$AD$2*$AE$2+'Demand Base Matrix'!I$7+'Demand Base Matrix'!I$8*$AF$2),IF($C57="Integrate",(('Demand Base Matrix'!I$28+'Demand Base Matrix'!I$32)*$AC$2*$AD$2*$AE$2+('Demand Base Matrix'!I$29+'Demand Base Matrix'!I$30)*$W$2*$AD$2+'Demand Base Matrix'!I$31*$W$2*$AD$2*$AE$2+'Demand Base Matrix'!I$33+'Demand Base Matrix'!I$34*$AF$2),IF($C57="Bond",(('Demand Base Matrix'!I$55+'Demand Base Matrix'!I$59)*$AC$2*$AD$2*$AE$2+('Demand Base Matrix'!I$56+'Demand Base Matrix'!I$57)*$W$2*$AD$2+'Demand Base Matrix'!I$58*$W$2*$AD$2*$AE$2+'Demand Base Matrix'!I$60+'Demand Base Matrix'!I$61*$AF$2),IF($C57="Explore",('Demand Base Matrix'!I$82*$AC$2*$AD$2*$AE$2*$AF$2+'Demand Base Matrix'!I$83*$W$2*$AC$2*$AD$2*$AE$2*$AF$2+'Demand Base Matrix'!I$84)))))</f>
        <v>8</v>
      </c>
      <c r="AM57">
        <f>IF($C57="Validate",(('Demand Base Matrix'!J$2+'Demand Base Matrix'!J$6)*$AC$2*$AD$2*$AE$2+('Demand Base Matrix'!J$3+'Demand Base Matrix'!J$4)*$W$2*$AD$2+'Demand Base Matrix'!J$5*$W$2*$AD$2*$AE$2+'Demand Base Matrix'!J$7+'Demand Base Matrix'!J$8*$AF$2),IF($C57="Integrate",(('Demand Base Matrix'!J$28+'Demand Base Matrix'!J$32)*$AC$2*$AD$2*$AE$2+('Demand Base Matrix'!J$29+'Demand Base Matrix'!J$30)*$W$2*$AD$2+'Demand Base Matrix'!J$31*$W$2*$AD$2*$AE$2+'Demand Base Matrix'!J$33+'Demand Base Matrix'!J$34*$AF$2),IF($C57="Bond",(('Demand Base Matrix'!J$55+'Demand Base Matrix'!J$59)*$AC$2*$AD$2*$AE$2+('Demand Base Matrix'!J$56+'Demand Base Matrix'!J$57)*$W$2*$AD$2+'Demand Base Matrix'!J$58*$W$2*$AD$2*$AE$2+'Demand Base Matrix'!J$60+'Demand Base Matrix'!J$61*$AF$2),IF($C57="Explore",('Demand Base Matrix'!J$82*$AC$2*$AD$2*$AE$2*$AF$2+'Demand Base Matrix'!J$83*$W$2*$AC$2*$AD$2*$AE$2*$AF$2+'Demand Base Matrix'!J$84)))))</f>
        <v>8</v>
      </c>
      <c r="AN57" s="4"/>
      <c r="AP57" s="31"/>
      <c r="AQ57" s="31"/>
      <c r="AR57" s="31"/>
      <c r="AS57"/>
      <c r="AT57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</row>
    <row r="58" spans="1:95" x14ac:dyDescent="0.2">
      <c r="A58" t="s">
        <v>769</v>
      </c>
      <c r="B58" t="s">
        <v>708</v>
      </c>
      <c r="C58" t="s">
        <v>20</v>
      </c>
      <c r="D58" t="s">
        <v>69</v>
      </c>
      <c r="E58" t="s">
        <v>119</v>
      </c>
      <c r="F58" t="s">
        <v>189</v>
      </c>
      <c r="I58" t="str">
        <f>IFERROR(INDEX('Customer 360'!F:F,MATCH(B58,'Customer 360'!A:A,0)),"-")</f>
        <v>A</v>
      </c>
      <c r="J58">
        <v>5000</v>
      </c>
      <c r="K58"/>
      <c r="L58" s="4">
        <v>46294</v>
      </c>
      <c r="M58" s="4">
        <v>46294</v>
      </c>
      <c r="N58">
        <v>2026</v>
      </c>
      <c r="O58" s="4">
        <v>46082</v>
      </c>
      <c r="P58" t="s">
        <v>217</v>
      </c>
      <c r="Q58" s="18">
        <f t="shared" si="0"/>
        <v>46082</v>
      </c>
      <c r="R58" s="18">
        <f>IFERROR(IF(M58&lt;&gt;"",M58,IF(L58&lt;&gt;"",L58,INDEX('CSM RDD'!B:B,MATCH(B58,'CSM RDD'!A:A,0)))),"-")</f>
        <v>46294</v>
      </c>
      <c r="S58" s="18">
        <f t="shared" si="7"/>
        <v>46082</v>
      </c>
      <c r="T58" s="18">
        <f t="shared" si="8"/>
        <v>46266</v>
      </c>
      <c r="U58" s="6">
        <f t="shared" si="9"/>
        <v>5000</v>
      </c>
      <c r="V58" s="18">
        <f t="shared" si="18"/>
        <v>46082</v>
      </c>
      <c r="W58">
        <f>IF(U58=0,1,IF(U58&lt;='Demand Base Matrix'!$K$3,'Demand Base Matrix'!$L$3,IF(U58&lt;='Demand Base Matrix'!$K$4,'Demand Base Matrix'!$L$4,IF(U58&lt;='Demand Base Matrix'!$K$5,'Demand Base Matrix'!$L$5,IF(U58&lt;='Demand Base Matrix'!$K$6,'Demand Base Matrix'!$L$6,IF(U58&lt;='Demand Base Matrix'!$K$7,'Demand Base Matrix'!$L$7))))))</f>
        <v>1</v>
      </c>
      <c r="X58" s="4">
        <f t="shared" si="10"/>
        <v>46266</v>
      </c>
      <c r="Y58" t="str">
        <f t="shared" si="11"/>
        <v>Dx</v>
      </c>
      <c r="Z58" t="s">
        <v>220</v>
      </c>
      <c r="AA58" t="s">
        <v>220</v>
      </c>
      <c r="AB58" t="s">
        <v>220</v>
      </c>
      <c r="AC58">
        <f>IFERROR(INDEX('Demand Base Matrix'!AM:AM,MATCH(Y58,'Demand Base Matrix'!AL:AL,0)),"-")</f>
        <v>1</v>
      </c>
      <c r="AD58">
        <f>IFERROR(INDEX('Demand Base Matrix'!AO:AO,MATCH(Z58,'Demand Base Matrix'!AN:AN,0)),1)</f>
        <v>1</v>
      </c>
      <c r="AE58">
        <f>IFERROR(INDEX('Demand Base Matrix'!AQ:AQ,MATCH(AA58,'Demand Base Matrix'!AP:AP,0)),1)</f>
        <v>1</v>
      </c>
      <c r="AF58">
        <f>IFERROR(INDEX('Demand Base Matrix'!AS:AS,MATCH(AB58,'Demand Base Matrix'!AR:AR,0)),1)</f>
        <v>1</v>
      </c>
      <c r="AG58">
        <f>IF($C58="Validate",(('Demand Base Matrix'!D$2+'Demand Base Matrix'!D$6)*$AC$2*$AD$2*$AE$2+('Demand Base Matrix'!D$3+'Demand Base Matrix'!D$4)*$W$2*$AD$2+'Demand Base Matrix'!D$5*$W$2*$AD$2*$AE$2+'Demand Base Matrix'!D$7+'Demand Base Matrix'!D$8*$AF$2),IF($C58="Integrate",(('Demand Base Matrix'!D$28+'Demand Base Matrix'!D$32)*$AC$2*$AD$2*$AE$2+('Demand Base Matrix'!D$29+'Demand Base Matrix'!D$30)*$W$2*$AD$2+'Demand Base Matrix'!D$31*$W$2*$AD$2*$AE$2+'Demand Base Matrix'!D$33+'Demand Base Matrix'!D$34*$AF$2),IF($C58="Bond",(('Demand Base Matrix'!D$55+'Demand Base Matrix'!D$59)*$AC$2*$AD$2*$AE$2+('Demand Base Matrix'!D$56+'Demand Base Matrix'!D$57)*$W$2*$AD$2+'Demand Base Matrix'!D$58*$W$2*$AD$2*$AE$2+'Demand Base Matrix'!D$60+'Demand Base Matrix'!D$61*$AF$2),IF($C58="Explore",('Demand Base Matrix'!D$82*$AC$2*$AD$2*$AE$2*$AF$2+'Demand Base Matrix'!D$83*$W$2*$AC$2*$AD$2*$AE$2*$AF$2+'Demand Base Matrix'!D$84)))))</f>
        <v>15</v>
      </c>
      <c r="AH58">
        <f>IF($C58="Validate",(('Demand Base Matrix'!E$2+'Demand Base Matrix'!E$6)*$AC$2*$AD$2*$AE$2+('Demand Base Matrix'!E$3+'Demand Base Matrix'!E$4)*$W$2*$AD$2+'Demand Base Matrix'!E$5*$W$2*$AD$2*$AE$2+'Demand Base Matrix'!E$7+'Demand Base Matrix'!E$8*$AF$2),IF($C58="Integrate",(('Demand Base Matrix'!E$28+'Demand Base Matrix'!E$32)*$AC$2*$AD$2*$AE$2+('Demand Base Matrix'!E$29+'Demand Base Matrix'!E$30)*$W$2*$AD$2+'Demand Base Matrix'!E$31*$W$2*$AD$2*$AE$2+'Demand Base Matrix'!E$33+'Demand Base Matrix'!E$34*$AF$2),IF($C58="Bond",(('Demand Base Matrix'!E$55+'Demand Base Matrix'!E$59)*$AC$2*$AD$2*$AE$2+('Demand Base Matrix'!E$56+'Demand Base Matrix'!E$57)*$W$2*$AD$2+'Demand Base Matrix'!E$58*$W$2*$AD$2*$AE$2+'Demand Base Matrix'!E$60+'Demand Base Matrix'!E$61*$AF$2),IF($C58="Explore",('Demand Base Matrix'!E$82*$AC$2*$AD$2*$AE$2*$AF$2+'Demand Base Matrix'!E$83*$W$2*$AC$2*$AD$2*$AE$2*$AF$2+'Demand Base Matrix'!E$84)))))</f>
        <v>15</v>
      </c>
      <c r="AI58">
        <f>IF($C58="Validate",(('Demand Base Matrix'!F$2+'Demand Base Matrix'!F$6)*$AC$2*$AD$2*$AE$2+('Demand Base Matrix'!F$3+'Demand Base Matrix'!F$4)*$W$2*$AD$2+'Demand Base Matrix'!F$5*$W$2*$AD$2*$AE$2+'Demand Base Matrix'!F$7+'Demand Base Matrix'!F$8*$AF$2),IF($C58="Integrate",(('Demand Base Matrix'!F$28+'Demand Base Matrix'!F$32)*$AC$2*$AD$2*$AE$2+('Demand Base Matrix'!F$29+'Demand Base Matrix'!F$30)*$W$2*$AD$2+'Demand Base Matrix'!F$31*$W$2*$AD$2*$AE$2+'Demand Base Matrix'!F$33+'Demand Base Matrix'!F$34*$AF$2),IF($C58="Bond",(('Demand Base Matrix'!F$55+'Demand Base Matrix'!F$59)*$AC$2*$AD$2*$AE$2+('Demand Base Matrix'!F$56+'Demand Base Matrix'!F$57)*$W$2*$AD$2+'Demand Base Matrix'!F$58*$W$2*$AD$2*$AE$2+'Demand Base Matrix'!F$60+'Demand Base Matrix'!F$61*$AF$2),IF($C58="Explore",('Demand Base Matrix'!F$82*$AC$2*$AD$2*$AE$2*$AF$2+'Demand Base Matrix'!F$83*$W$2*$AC$2*$AD$2*$AE$2*$AF$2+'Demand Base Matrix'!F$84)))))</f>
        <v>7</v>
      </c>
      <c r="AJ58">
        <f>IF($C58="Validate",(('Demand Base Matrix'!G$2+'Demand Base Matrix'!G$6)*$AC$2*$AD$2*$AE$2+('Demand Base Matrix'!G$3+'Demand Base Matrix'!G$4)*$W$2*$AD$2+'Demand Base Matrix'!G$5*$W$2*$AD$2*$AE$2+'Demand Base Matrix'!G$7+'Demand Base Matrix'!G$8*$AF$2),IF($C58="Integrate",(('Demand Base Matrix'!G$28+'Demand Base Matrix'!G$32)*$AC$2*$AD$2*$AE$2+('Demand Base Matrix'!G$29+'Demand Base Matrix'!G$30)*$W$2*$AD$2+'Demand Base Matrix'!G$31*$W$2*$AD$2*$AE$2+'Demand Base Matrix'!G$33+'Demand Base Matrix'!G$34*$AF$2),IF($C58="Bond",(('Demand Base Matrix'!G$55+'Demand Base Matrix'!G$59)*$AC$2*$AD$2*$AE$2+('Demand Base Matrix'!G$56+'Demand Base Matrix'!G$57)*$W$2*$AD$2+'Demand Base Matrix'!G$58*$W$2*$AD$2*$AE$2+'Demand Base Matrix'!G$60+'Demand Base Matrix'!G$61*$AF$2),IF($C58="Explore",('Demand Base Matrix'!G$82*$AC$2*$AD$2*$AE$2*$AF$2+'Demand Base Matrix'!G$83*$W$2*$AC$2*$AD$2*$AE$2*$AF$2+'Demand Base Matrix'!G$84)))))</f>
        <v>40</v>
      </c>
      <c r="AK58">
        <f>IF($C58="Validate",(('Demand Base Matrix'!H$2+'Demand Base Matrix'!H$6)*$AC$2*$AD$2*$AE$2+('Demand Base Matrix'!H$3+'Demand Base Matrix'!H$4)*$W$2*$AD$2+'Demand Base Matrix'!H$5*$W$2*$AD$2*$AE$2+'Demand Base Matrix'!H$7+'Demand Base Matrix'!H$8*$AF$2),IF($C58="Integrate",(('Demand Base Matrix'!H$28+'Demand Base Matrix'!H$32)*$AC$2*$AD$2*$AE$2+('Demand Base Matrix'!H$29+'Demand Base Matrix'!H$30)*$W$2*$AD$2+'Demand Base Matrix'!H$31*$W$2*$AD$2*$AE$2+'Demand Base Matrix'!H$33+'Demand Base Matrix'!H$34*$AF$2),IF($C58="Bond",(('Demand Base Matrix'!H$55+'Demand Base Matrix'!H$59)*$AC$2*$AD$2*$AE$2+('Demand Base Matrix'!H$56+'Demand Base Matrix'!H$57)*$W$2*$AD$2+'Demand Base Matrix'!H$58*$W$2*$AD$2*$AE$2+'Demand Base Matrix'!H$60+'Demand Base Matrix'!H$61*$AF$2),IF($C58="Explore",('Demand Base Matrix'!H$82*$AC$2*$AD$2*$AE$2*$AF$2+'Demand Base Matrix'!H$83*$W$2*$AC$2*$AD$2*$AE$2*$AF$2+'Demand Base Matrix'!H$84)))))</f>
        <v>60</v>
      </c>
      <c r="AL58">
        <f>IF($C58="Validate",(('Demand Base Matrix'!I$2+'Demand Base Matrix'!I$6)*$AC$2*$AD$2*$AE$2+('Demand Base Matrix'!I$3+'Demand Base Matrix'!I$4)*$W$2*$AD$2+'Demand Base Matrix'!I$5*$W$2*$AD$2*$AE$2+'Demand Base Matrix'!I$7+'Demand Base Matrix'!I$8*$AF$2),IF($C58="Integrate",(('Demand Base Matrix'!I$28+'Demand Base Matrix'!I$32)*$AC$2*$AD$2*$AE$2+('Demand Base Matrix'!I$29+'Demand Base Matrix'!I$30)*$W$2*$AD$2+'Demand Base Matrix'!I$31*$W$2*$AD$2*$AE$2+'Demand Base Matrix'!I$33+'Demand Base Matrix'!I$34*$AF$2),IF($C58="Bond",(('Demand Base Matrix'!I$55+'Demand Base Matrix'!I$59)*$AC$2*$AD$2*$AE$2+('Demand Base Matrix'!I$56+'Demand Base Matrix'!I$57)*$W$2*$AD$2+'Demand Base Matrix'!I$58*$W$2*$AD$2*$AE$2+'Demand Base Matrix'!I$60+'Demand Base Matrix'!I$61*$AF$2),IF($C58="Explore",('Demand Base Matrix'!I$82*$AC$2*$AD$2*$AE$2*$AF$2+'Demand Base Matrix'!I$83*$W$2*$AC$2*$AD$2*$AE$2*$AF$2+'Demand Base Matrix'!I$84)))))</f>
        <v>10</v>
      </c>
      <c r="AM58">
        <f>IF($C58="Validate",(('Demand Base Matrix'!J$2+'Demand Base Matrix'!J$6)*$AC$2*$AD$2*$AE$2+('Demand Base Matrix'!J$3+'Demand Base Matrix'!J$4)*$W$2*$AD$2+'Demand Base Matrix'!J$5*$W$2*$AD$2*$AE$2+'Demand Base Matrix'!J$7+'Demand Base Matrix'!J$8*$AF$2),IF($C58="Integrate",(('Demand Base Matrix'!J$28+'Demand Base Matrix'!J$32)*$AC$2*$AD$2*$AE$2+('Demand Base Matrix'!J$29+'Demand Base Matrix'!J$30)*$W$2*$AD$2+'Demand Base Matrix'!J$31*$W$2*$AD$2*$AE$2+'Demand Base Matrix'!J$33+'Demand Base Matrix'!J$34*$AF$2),IF($C58="Bond",(('Demand Base Matrix'!J$55+'Demand Base Matrix'!J$59)*$AC$2*$AD$2*$AE$2+('Demand Base Matrix'!J$56+'Demand Base Matrix'!J$57)*$W$2*$AD$2+'Demand Base Matrix'!J$58*$W$2*$AD$2*$AE$2+'Demand Base Matrix'!J$60+'Demand Base Matrix'!J$61*$AF$2),IF($C58="Explore",('Demand Base Matrix'!J$82*$AC$2*$AD$2*$AE$2*$AF$2+'Demand Base Matrix'!J$83*$W$2*$AC$2*$AD$2*$AE$2*$AF$2+'Demand Base Matrix'!J$84)))))</f>
        <v>4</v>
      </c>
      <c r="AP58" s="5"/>
      <c r="AQ58" s="5"/>
      <c r="AR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</row>
    <row r="59" spans="1:95" x14ac:dyDescent="0.2">
      <c r="A59" t="s">
        <v>770</v>
      </c>
      <c r="B59" t="s">
        <v>673</v>
      </c>
      <c r="C59" t="s">
        <v>20</v>
      </c>
      <c r="D59" t="s">
        <v>60</v>
      </c>
      <c r="E59" t="s">
        <v>116</v>
      </c>
      <c r="F59" t="s">
        <v>93</v>
      </c>
      <c r="I59" t="str">
        <f>IFERROR(INDEX('Customer 360'!F:F,MATCH(B59,'Customer 360'!A:A,0)),"-")</f>
        <v>A</v>
      </c>
      <c r="J59">
        <v>230</v>
      </c>
      <c r="K59"/>
      <c r="L59" s="4">
        <v>46112</v>
      </c>
      <c r="M59" s="4">
        <v>46100</v>
      </c>
      <c r="N59">
        <v>2026</v>
      </c>
      <c r="O59" s="4">
        <v>46082</v>
      </c>
      <c r="P59" t="s">
        <v>217</v>
      </c>
      <c r="Q59" s="18">
        <f t="shared" si="0"/>
        <v>46082</v>
      </c>
      <c r="R59" s="18">
        <f>IFERROR(IF(M59&lt;&gt;"",M59,IF(L59&lt;&gt;"",L59,INDEX('CSM RDD'!B:B,MATCH(B59,'CSM RDD'!A:A,0)))),"-")</f>
        <v>46100</v>
      </c>
      <c r="S59" s="18">
        <f t="shared" si="7"/>
        <v>46082</v>
      </c>
      <c r="T59" s="18">
        <f t="shared" si="8"/>
        <v>46082</v>
      </c>
      <c r="U59" s="6">
        <f t="shared" si="9"/>
        <v>230</v>
      </c>
      <c r="V59" s="18">
        <f t="shared" si="18"/>
        <v>46082</v>
      </c>
      <c r="W59">
        <f>IF(U59=0,1,IF(U59&lt;='Demand Base Matrix'!$K$3,'Demand Base Matrix'!$L$3,IF(U59&lt;='Demand Base Matrix'!$K$4,'Demand Base Matrix'!$L$4,IF(U59&lt;='Demand Base Matrix'!$K$5,'Demand Base Matrix'!$L$5,IF(U59&lt;='Demand Base Matrix'!$K$6,'Demand Base Matrix'!$L$6,IF(U59&lt;='Demand Base Matrix'!$K$7,'Demand Base Matrix'!$L$7))))))</f>
        <v>0.75</v>
      </c>
      <c r="X59" s="4">
        <f t="shared" si="10"/>
        <v>46082</v>
      </c>
      <c r="Y59" t="str">
        <f t="shared" si="11"/>
        <v>Dx</v>
      </c>
      <c r="Z59" t="s">
        <v>220</v>
      </c>
      <c r="AA59" t="s">
        <v>220</v>
      </c>
      <c r="AB59" t="s">
        <v>220</v>
      </c>
      <c r="AC59">
        <f>IFERROR(INDEX('Demand Base Matrix'!AM:AM,MATCH(Y59,'Demand Base Matrix'!AL:AL,0)),"-")</f>
        <v>1</v>
      </c>
      <c r="AD59">
        <f>IFERROR(INDEX('Demand Base Matrix'!AO:AO,MATCH(Z59,'Demand Base Matrix'!AN:AN,0)),1)</f>
        <v>1</v>
      </c>
      <c r="AE59">
        <f>IFERROR(INDEX('Demand Base Matrix'!AQ:AQ,MATCH(AA59,'Demand Base Matrix'!AP:AP,0)),1)</f>
        <v>1</v>
      </c>
      <c r="AF59">
        <f>IFERROR(INDEX('Demand Base Matrix'!AS:AS,MATCH(AB59,'Demand Base Matrix'!AR:AR,0)),1)</f>
        <v>1</v>
      </c>
      <c r="AG59">
        <f>IF($C59="Validate",(('Demand Base Matrix'!D$2+'Demand Base Matrix'!D$6)*$AC$2*$AD$2*$AE$2+('Demand Base Matrix'!D$3+'Demand Base Matrix'!D$4)*$W$2*$AD$2+'Demand Base Matrix'!D$5*$W$2*$AD$2*$AE$2+'Demand Base Matrix'!D$7+'Demand Base Matrix'!D$8*$AF$2),IF($C59="Integrate",(('Demand Base Matrix'!D$28+'Demand Base Matrix'!D$32)*$AC$2*$AD$2*$AE$2+('Demand Base Matrix'!D$29+'Demand Base Matrix'!D$30)*$W$2*$AD$2+'Demand Base Matrix'!D$31*$W$2*$AD$2*$AE$2+'Demand Base Matrix'!D$33+'Demand Base Matrix'!D$34*$AF$2),IF($C59="Bond",(('Demand Base Matrix'!D$55+'Demand Base Matrix'!D$59)*$AC$2*$AD$2*$AE$2+('Demand Base Matrix'!D$56+'Demand Base Matrix'!D$57)*$W$2*$AD$2+'Demand Base Matrix'!D$58*$W$2*$AD$2*$AE$2+'Demand Base Matrix'!D$60+'Demand Base Matrix'!D$61*$AF$2),IF($C59="Explore",('Demand Base Matrix'!D$82*$AC$2*$AD$2*$AE$2*$AF$2+'Demand Base Matrix'!D$83*$W$2*$AC$2*$AD$2*$AE$2*$AF$2+'Demand Base Matrix'!D$84)))))</f>
        <v>15</v>
      </c>
      <c r="AH59">
        <f>IF($C59="Validate",(('Demand Base Matrix'!E$2+'Demand Base Matrix'!E$6)*$AC$2*$AD$2*$AE$2+('Demand Base Matrix'!E$3+'Demand Base Matrix'!E$4)*$W$2*$AD$2+'Demand Base Matrix'!E$5*$W$2*$AD$2*$AE$2+'Demand Base Matrix'!E$7+'Demand Base Matrix'!E$8*$AF$2),IF($C59="Integrate",(('Demand Base Matrix'!E$28+'Demand Base Matrix'!E$32)*$AC$2*$AD$2*$AE$2+('Demand Base Matrix'!E$29+'Demand Base Matrix'!E$30)*$W$2*$AD$2+'Demand Base Matrix'!E$31*$W$2*$AD$2*$AE$2+'Demand Base Matrix'!E$33+'Demand Base Matrix'!E$34*$AF$2),IF($C59="Bond",(('Demand Base Matrix'!E$55+'Demand Base Matrix'!E$59)*$AC$2*$AD$2*$AE$2+('Demand Base Matrix'!E$56+'Demand Base Matrix'!E$57)*$W$2*$AD$2+'Demand Base Matrix'!E$58*$W$2*$AD$2*$AE$2+'Demand Base Matrix'!E$60+'Demand Base Matrix'!E$61*$AF$2),IF($C59="Explore",('Demand Base Matrix'!E$82*$AC$2*$AD$2*$AE$2*$AF$2+'Demand Base Matrix'!E$83*$W$2*$AC$2*$AD$2*$AE$2*$AF$2+'Demand Base Matrix'!E$84)))))</f>
        <v>15</v>
      </c>
      <c r="AI59">
        <f>IF($C59="Validate",(('Demand Base Matrix'!F$2+'Demand Base Matrix'!F$6)*$AC$2*$AD$2*$AE$2+('Demand Base Matrix'!F$3+'Demand Base Matrix'!F$4)*$W$2*$AD$2+'Demand Base Matrix'!F$5*$W$2*$AD$2*$AE$2+'Demand Base Matrix'!F$7+'Demand Base Matrix'!F$8*$AF$2),IF($C59="Integrate",(('Demand Base Matrix'!F$28+'Demand Base Matrix'!F$32)*$AC$2*$AD$2*$AE$2+('Demand Base Matrix'!F$29+'Demand Base Matrix'!F$30)*$W$2*$AD$2+'Demand Base Matrix'!F$31*$W$2*$AD$2*$AE$2+'Demand Base Matrix'!F$33+'Demand Base Matrix'!F$34*$AF$2),IF($C59="Bond",(('Demand Base Matrix'!F$55+'Demand Base Matrix'!F$59)*$AC$2*$AD$2*$AE$2+('Demand Base Matrix'!F$56+'Demand Base Matrix'!F$57)*$W$2*$AD$2+'Demand Base Matrix'!F$58*$W$2*$AD$2*$AE$2+'Demand Base Matrix'!F$60+'Demand Base Matrix'!F$61*$AF$2),IF($C59="Explore",('Demand Base Matrix'!F$82*$AC$2*$AD$2*$AE$2*$AF$2+'Demand Base Matrix'!F$83*$W$2*$AC$2*$AD$2*$AE$2*$AF$2+'Demand Base Matrix'!F$84)))))</f>
        <v>7</v>
      </c>
      <c r="AJ59">
        <f>IF($C59="Validate",(('Demand Base Matrix'!G$2+'Demand Base Matrix'!G$6)*$AC$2*$AD$2*$AE$2+('Demand Base Matrix'!G$3+'Demand Base Matrix'!G$4)*$W$2*$AD$2+'Demand Base Matrix'!G$5*$W$2*$AD$2*$AE$2+'Demand Base Matrix'!G$7+'Demand Base Matrix'!G$8*$AF$2),IF($C59="Integrate",(('Demand Base Matrix'!G$28+'Demand Base Matrix'!G$32)*$AC$2*$AD$2*$AE$2+('Demand Base Matrix'!G$29+'Demand Base Matrix'!G$30)*$W$2*$AD$2+'Demand Base Matrix'!G$31*$W$2*$AD$2*$AE$2+'Demand Base Matrix'!G$33+'Demand Base Matrix'!G$34*$AF$2),IF($C59="Bond",(('Demand Base Matrix'!G$55+'Demand Base Matrix'!G$59)*$AC$2*$AD$2*$AE$2+('Demand Base Matrix'!G$56+'Demand Base Matrix'!G$57)*$W$2*$AD$2+'Demand Base Matrix'!G$58*$W$2*$AD$2*$AE$2+'Demand Base Matrix'!G$60+'Demand Base Matrix'!G$61*$AF$2),IF($C59="Explore",('Demand Base Matrix'!G$82*$AC$2*$AD$2*$AE$2*$AF$2+'Demand Base Matrix'!G$83*$W$2*$AC$2*$AD$2*$AE$2*$AF$2+'Demand Base Matrix'!G$84)))))</f>
        <v>40</v>
      </c>
      <c r="AK59">
        <f>IF($C59="Validate",(('Demand Base Matrix'!H$2+'Demand Base Matrix'!H$6)*$AC$2*$AD$2*$AE$2+('Demand Base Matrix'!H$3+'Demand Base Matrix'!H$4)*$W$2*$AD$2+'Demand Base Matrix'!H$5*$W$2*$AD$2*$AE$2+'Demand Base Matrix'!H$7+'Demand Base Matrix'!H$8*$AF$2),IF($C59="Integrate",(('Demand Base Matrix'!H$28+'Demand Base Matrix'!H$32)*$AC$2*$AD$2*$AE$2+('Demand Base Matrix'!H$29+'Demand Base Matrix'!H$30)*$W$2*$AD$2+'Demand Base Matrix'!H$31*$W$2*$AD$2*$AE$2+'Demand Base Matrix'!H$33+'Demand Base Matrix'!H$34*$AF$2),IF($C59="Bond",(('Demand Base Matrix'!H$55+'Demand Base Matrix'!H$59)*$AC$2*$AD$2*$AE$2+('Demand Base Matrix'!H$56+'Demand Base Matrix'!H$57)*$W$2*$AD$2+'Demand Base Matrix'!H$58*$W$2*$AD$2*$AE$2+'Demand Base Matrix'!H$60+'Demand Base Matrix'!H$61*$AF$2),IF($C59="Explore",('Demand Base Matrix'!H$82*$AC$2*$AD$2*$AE$2*$AF$2+'Demand Base Matrix'!H$83*$W$2*$AC$2*$AD$2*$AE$2*$AF$2+'Demand Base Matrix'!H$84)))))</f>
        <v>60</v>
      </c>
      <c r="AL59">
        <f>IF($C59="Validate",(('Demand Base Matrix'!I$2+'Demand Base Matrix'!I$6)*$AC$2*$AD$2*$AE$2+('Demand Base Matrix'!I$3+'Demand Base Matrix'!I$4)*$W$2*$AD$2+'Demand Base Matrix'!I$5*$W$2*$AD$2*$AE$2+'Demand Base Matrix'!I$7+'Demand Base Matrix'!I$8*$AF$2),IF($C59="Integrate",(('Demand Base Matrix'!I$28+'Demand Base Matrix'!I$32)*$AC$2*$AD$2*$AE$2+('Demand Base Matrix'!I$29+'Demand Base Matrix'!I$30)*$W$2*$AD$2+'Demand Base Matrix'!I$31*$W$2*$AD$2*$AE$2+'Demand Base Matrix'!I$33+'Demand Base Matrix'!I$34*$AF$2),IF($C59="Bond",(('Demand Base Matrix'!I$55+'Demand Base Matrix'!I$59)*$AC$2*$AD$2*$AE$2+('Demand Base Matrix'!I$56+'Demand Base Matrix'!I$57)*$W$2*$AD$2+'Demand Base Matrix'!I$58*$W$2*$AD$2*$AE$2+'Demand Base Matrix'!I$60+'Demand Base Matrix'!I$61*$AF$2),IF($C59="Explore",('Demand Base Matrix'!I$82*$AC$2*$AD$2*$AE$2*$AF$2+'Demand Base Matrix'!I$83*$W$2*$AC$2*$AD$2*$AE$2*$AF$2+'Demand Base Matrix'!I$84)))))</f>
        <v>10</v>
      </c>
      <c r="AM59">
        <f>IF($C59="Validate",(('Demand Base Matrix'!J$2+'Demand Base Matrix'!J$6)*$AC$2*$AD$2*$AE$2+('Demand Base Matrix'!J$3+'Demand Base Matrix'!J$4)*$W$2*$AD$2+'Demand Base Matrix'!J$5*$W$2*$AD$2*$AE$2+'Demand Base Matrix'!J$7+'Demand Base Matrix'!J$8*$AF$2),IF($C59="Integrate",(('Demand Base Matrix'!J$28+'Demand Base Matrix'!J$32)*$AC$2*$AD$2*$AE$2+('Demand Base Matrix'!J$29+'Demand Base Matrix'!J$30)*$W$2*$AD$2+'Demand Base Matrix'!J$31*$W$2*$AD$2*$AE$2+'Demand Base Matrix'!J$33+'Demand Base Matrix'!J$34*$AF$2),IF($C59="Bond",(('Demand Base Matrix'!J$55+'Demand Base Matrix'!J$59)*$AC$2*$AD$2*$AE$2+('Demand Base Matrix'!J$56+'Demand Base Matrix'!J$57)*$W$2*$AD$2+'Demand Base Matrix'!J$58*$W$2*$AD$2*$AE$2+'Demand Base Matrix'!J$60+'Demand Base Matrix'!J$61*$AF$2),IF($C59="Explore",('Demand Base Matrix'!J$82*$AC$2*$AD$2*$AE$2*$AF$2+'Demand Base Matrix'!J$83*$W$2*$AC$2*$AD$2*$AE$2*$AF$2+'Demand Base Matrix'!J$84)))))</f>
        <v>4</v>
      </c>
      <c r="AP59" s="5"/>
      <c r="AQ59" s="5"/>
      <c r="AR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</row>
    <row r="60" spans="1:95" x14ac:dyDescent="0.2">
      <c r="A60" t="s">
        <v>771</v>
      </c>
      <c r="B60" t="s">
        <v>84</v>
      </c>
      <c r="C60" t="s">
        <v>32</v>
      </c>
      <c r="D60" t="s">
        <v>60</v>
      </c>
      <c r="E60" t="s">
        <v>25</v>
      </c>
      <c r="F60" t="s">
        <v>180</v>
      </c>
      <c r="I60" t="str">
        <f>IFERROR(INDEX('Customer 360'!F:F,MATCH(B60,'Customer 360'!A:A,0)),"-")</f>
        <v>A</v>
      </c>
      <c r="J60">
        <v>8197</v>
      </c>
      <c r="K60"/>
      <c r="L60" s="4">
        <v>46416</v>
      </c>
      <c r="M60" s="4">
        <v>46416</v>
      </c>
      <c r="N60">
        <v>2027</v>
      </c>
      <c r="O60" s="4">
        <v>45901</v>
      </c>
      <c r="P60" t="s">
        <v>217</v>
      </c>
      <c r="Q60" s="18">
        <f t="shared" si="0"/>
        <v>45901</v>
      </c>
      <c r="R60" s="18">
        <f>IFERROR(IF(M60&lt;&gt;"",M60,IF(L60&lt;&gt;"",L60,INDEX('CSM RDD'!B:B,MATCH(B60,'CSM RDD'!A:A,0)))),"-")</f>
        <v>46416</v>
      </c>
      <c r="S60" s="18">
        <f t="shared" si="7"/>
        <v>45901</v>
      </c>
      <c r="T60" s="18">
        <f t="shared" si="8"/>
        <v>46388</v>
      </c>
      <c r="U60" s="6">
        <f t="shared" si="9"/>
        <v>8197</v>
      </c>
      <c r="V60" s="18">
        <f t="shared" si="18"/>
        <v>46082</v>
      </c>
      <c r="W60">
        <f>IF(U60=0,1,IF(U60&lt;='Demand Base Matrix'!$K$3,'Demand Base Matrix'!$L$3,IF(U60&lt;='Demand Base Matrix'!$K$4,'Demand Base Matrix'!$L$4,IF(U60&lt;='Demand Base Matrix'!$K$5,'Demand Base Matrix'!$L$5,IF(U60&lt;='Demand Base Matrix'!$K$6,'Demand Base Matrix'!$L$6,IF(U60&lt;='Demand Base Matrix'!$K$7,'Demand Base Matrix'!$L$7))))))</f>
        <v>1.25</v>
      </c>
      <c r="X60" s="4">
        <f t="shared" si="10"/>
        <v>46388</v>
      </c>
      <c r="Y60" t="str">
        <f t="shared" si="11"/>
        <v>Dx</v>
      </c>
      <c r="Z60" t="s">
        <v>685</v>
      </c>
      <c r="AA60" t="s">
        <v>685</v>
      </c>
      <c r="AB60" t="s">
        <v>685</v>
      </c>
      <c r="AC60">
        <f>IFERROR(INDEX('Demand Base Matrix'!AM:AM,MATCH(Y60,'Demand Base Matrix'!AL:AL,0)),"-")</f>
        <v>1</v>
      </c>
      <c r="AD60">
        <f>IFERROR(INDEX('Demand Base Matrix'!AO:AO,MATCH(Z60,'Demand Base Matrix'!AN:AN,0)),1)</f>
        <v>1</v>
      </c>
      <c r="AE60">
        <f>IFERROR(INDEX('Demand Base Matrix'!AQ:AQ,MATCH(AA60,'Demand Base Matrix'!AP:AP,0)),1)</f>
        <v>1</v>
      </c>
      <c r="AF60">
        <f>IFERROR(INDEX('Demand Base Matrix'!AS:AS,MATCH(AB60,'Demand Base Matrix'!AR:AR,0)),1)</f>
        <v>1</v>
      </c>
      <c r="AG60">
        <f>IF($C60="Validate",(('Demand Base Matrix'!D$2+'Demand Base Matrix'!D$6)*$AC$2*$AD$2*$AE$2+('Demand Base Matrix'!D$3+'Demand Base Matrix'!D$4)*$W$2*$AD$2+'Demand Base Matrix'!D$5*$W$2*$AD$2*$AE$2+'Demand Base Matrix'!D$7+'Demand Base Matrix'!D$8*$AF$2),IF($C60="Integrate",(('Demand Base Matrix'!D$28+'Demand Base Matrix'!D$32)*$AC$2*$AD$2*$AE$2+('Demand Base Matrix'!D$29+'Demand Base Matrix'!D$30)*$W$2*$AD$2+'Demand Base Matrix'!D$31*$W$2*$AD$2*$AE$2+'Demand Base Matrix'!D$33+'Demand Base Matrix'!D$34*$AF$2),IF($C60="Bond",(('Demand Base Matrix'!D$55+'Demand Base Matrix'!D$59)*$AC$2*$AD$2*$AE$2+('Demand Base Matrix'!D$56+'Demand Base Matrix'!D$57)*$W$2*$AD$2+'Demand Base Matrix'!D$58*$W$2*$AD$2*$AE$2+'Demand Base Matrix'!D$60+'Demand Base Matrix'!D$61*$AF$2),IF($C60="Explore",('Demand Base Matrix'!D$82*$AC$2*$AD$2*$AE$2*$AF$2+'Demand Base Matrix'!D$83*$W$2*$AC$2*$AD$2*$AE$2*$AF$2+'Demand Base Matrix'!D$84)))))</f>
        <v>10</v>
      </c>
      <c r="AH60">
        <f>IF($C60="Validate",(('Demand Base Matrix'!E$2+'Demand Base Matrix'!E$6)*$AC$2*$AD$2*$AE$2+('Demand Base Matrix'!E$3+'Demand Base Matrix'!E$4)*$W$2*$AD$2+'Demand Base Matrix'!E$5*$W$2*$AD$2*$AE$2+'Demand Base Matrix'!E$7+'Demand Base Matrix'!E$8*$AF$2),IF($C60="Integrate",(('Demand Base Matrix'!E$28+'Demand Base Matrix'!E$32)*$AC$2*$AD$2*$AE$2+('Demand Base Matrix'!E$29+'Demand Base Matrix'!E$30)*$W$2*$AD$2+'Demand Base Matrix'!E$31*$W$2*$AD$2*$AE$2+'Demand Base Matrix'!E$33+'Demand Base Matrix'!E$34*$AF$2),IF($C60="Bond",(('Demand Base Matrix'!E$55+'Demand Base Matrix'!E$59)*$AC$2*$AD$2*$AE$2+('Demand Base Matrix'!E$56+'Demand Base Matrix'!E$57)*$W$2*$AD$2+'Demand Base Matrix'!E$58*$W$2*$AD$2*$AE$2+'Demand Base Matrix'!E$60+'Demand Base Matrix'!E$61*$AF$2),IF($C60="Explore",('Demand Base Matrix'!E$82*$AC$2*$AD$2*$AE$2*$AF$2+'Demand Base Matrix'!E$83*$W$2*$AC$2*$AD$2*$AE$2*$AF$2+'Demand Base Matrix'!E$84)))))</f>
        <v>20</v>
      </c>
      <c r="AI60">
        <f>IF($C60="Validate",(('Demand Base Matrix'!F$2+'Demand Base Matrix'!F$6)*$AC$2*$AD$2*$AE$2+('Demand Base Matrix'!F$3+'Demand Base Matrix'!F$4)*$W$2*$AD$2+'Demand Base Matrix'!F$5*$W$2*$AD$2*$AE$2+'Demand Base Matrix'!F$7+'Demand Base Matrix'!F$8*$AF$2),IF($C60="Integrate",(('Demand Base Matrix'!F$28+'Demand Base Matrix'!F$32)*$AC$2*$AD$2*$AE$2+('Demand Base Matrix'!F$29+'Demand Base Matrix'!F$30)*$W$2*$AD$2+'Demand Base Matrix'!F$31*$W$2*$AD$2*$AE$2+'Demand Base Matrix'!F$33+'Demand Base Matrix'!F$34*$AF$2),IF($C60="Bond",(('Demand Base Matrix'!F$55+'Demand Base Matrix'!F$59)*$AC$2*$AD$2*$AE$2+('Demand Base Matrix'!F$56+'Demand Base Matrix'!F$57)*$W$2*$AD$2+'Demand Base Matrix'!F$58*$W$2*$AD$2*$AE$2+'Demand Base Matrix'!F$60+'Demand Base Matrix'!F$61*$AF$2),IF($C60="Explore",('Demand Base Matrix'!F$82*$AC$2*$AD$2*$AE$2*$AF$2+'Demand Base Matrix'!F$83*$W$2*$AC$2*$AD$2*$AE$2*$AF$2+'Demand Base Matrix'!F$84)))))</f>
        <v>10</v>
      </c>
      <c r="AJ60">
        <f>IF($C60="Validate",(('Demand Base Matrix'!G$2+'Demand Base Matrix'!G$6)*$AC$2*$AD$2*$AE$2+('Demand Base Matrix'!G$3+'Demand Base Matrix'!G$4)*$W$2*$AD$2+'Demand Base Matrix'!G$5*$W$2*$AD$2*$AE$2+'Demand Base Matrix'!G$7+'Demand Base Matrix'!G$8*$AF$2),IF($C60="Integrate",(('Demand Base Matrix'!G$28+'Demand Base Matrix'!G$32)*$AC$2*$AD$2*$AE$2+('Demand Base Matrix'!G$29+'Demand Base Matrix'!G$30)*$W$2*$AD$2+'Demand Base Matrix'!G$31*$W$2*$AD$2*$AE$2+'Demand Base Matrix'!G$33+'Demand Base Matrix'!G$34*$AF$2),IF($C60="Bond",(('Demand Base Matrix'!G$55+'Demand Base Matrix'!G$59)*$AC$2*$AD$2*$AE$2+('Demand Base Matrix'!G$56+'Demand Base Matrix'!G$57)*$W$2*$AD$2+'Demand Base Matrix'!G$58*$W$2*$AD$2*$AE$2+'Demand Base Matrix'!G$60+'Demand Base Matrix'!G$61*$AF$2),IF($C60="Explore",('Demand Base Matrix'!G$82*$AC$2*$AD$2*$AE$2*$AF$2+'Demand Base Matrix'!G$83*$W$2*$AC$2*$AD$2*$AE$2*$AF$2+'Demand Base Matrix'!G$84)))))</f>
        <v>60</v>
      </c>
      <c r="AK60">
        <f>IF($C60="Validate",(('Demand Base Matrix'!H$2+'Demand Base Matrix'!H$6)*$AC$2*$AD$2*$AE$2+('Demand Base Matrix'!H$3+'Demand Base Matrix'!H$4)*$W$2*$AD$2+'Demand Base Matrix'!H$5*$W$2*$AD$2*$AE$2+'Demand Base Matrix'!H$7+'Demand Base Matrix'!H$8*$AF$2),IF($C60="Integrate",(('Demand Base Matrix'!H$28+'Demand Base Matrix'!H$32)*$AC$2*$AD$2*$AE$2+('Demand Base Matrix'!H$29+'Demand Base Matrix'!H$30)*$W$2*$AD$2+'Demand Base Matrix'!H$31*$W$2*$AD$2*$AE$2+'Demand Base Matrix'!H$33+'Demand Base Matrix'!H$34*$AF$2),IF($C60="Bond",(('Demand Base Matrix'!H$55+'Demand Base Matrix'!H$59)*$AC$2*$AD$2*$AE$2+('Demand Base Matrix'!H$56+'Demand Base Matrix'!H$57)*$W$2*$AD$2+'Demand Base Matrix'!H$58*$W$2*$AD$2*$AE$2+'Demand Base Matrix'!H$60+'Demand Base Matrix'!H$61*$AF$2),IF($C60="Explore",('Demand Base Matrix'!H$82*$AC$2*$AD$2*$AE$2*$AF$2+'Demand Base Matrix'!H$83*$W$2*$AC$2*$AD$2*$AE$2*$AF$2+'Demand Base Matrix'!H$84)))))</f>
        <v>28</v>
      </c>
      <c r="AL60">
        <f>IF($C60="Validate",(('Demand Base Matrix'!I$2+'Demand Base Matrix'!I$6)*$AC$2*$AD$2*$AE$2+('Demand Base Matrix'!I$3+'Demand Base Matrix'!I$4)*$W$2*$AD$2+'Demand Base Matrix'!I$5*$W$2*$AD$2*$AE$2+'Demand Base Matrix'!I$7+'Demand Base Matrix'!I$8*$AF$2),IF($C60="Integrate",(('Demand Base Matrix'!I$28+'Demand Base Matrix'!I$32)*$AC$2*$AD$2*$AE$2+('Demand Base Matrix'!I$29+'Demand Base Matrix'!I$30)*$W$2*$AD$2+'Demand Base Matrix'!I$31*$W$2*$AD$2*$AE$2+'Demand Base Matrix'!I$33+'Demand Base Matrix'!I$34*$AF$2),IF($C60="Bond",(('Demand Base Matrix'!I$55+'Demand Base Matrix'!I$59)*$AC$2*$AD$2*$AE$2+('Demand Base Matrix'!I$56+'Demand Base Matrix'!I$57)*$W$2*$AD$2+'Demand Base Matrix'!I$58*$W$2*$AD$2*$AE$2+'Demand Base Matrix'!I$60+'Demand Base Matrix'!I$61*$AF$2),IF($C60="Explore",('Demand Base Matrix'!I$82*$AC$2*$AD$2*$AE$2*$AF$2+'Demand Base Matrix'!I$83*$W$2*$AC$2*$AD$2*$AE$2*$AF$2+'Demand Base Matrix'!I$84)))))</f>
        <v>8</v>
      </c>
      <c r="AM60">
        <f>IF($C60="Validate",(('Demand Base Matrix'!J$2+'Demand Base Matrix'!J$6)*$AC$2*$AD$2*$AE$2+('Demand Base Matrix'!J$3+'Demand Base Matrix'!J$4)*$W$2*$AD$2+'Demand Base Matrix'!J$5*$W$2*$AD$2*$AE$2+'Demand Base Matrix'!J$7+'Demand Base Matrix'!J$8*$AF$2),IF($C60="Integrate",(('Demand Base Matrix'!J$28+'Demand Base Matrix'!J$32)*$AC$2*$AD$2*$AE$2+('Demand Base Matrix'!J$29+'Demand Base Matrix'!J$30)*$W$2*$AD$2+'Demand Base Matrix'!J$31*$W$2*$AD$2*$AE$2+'Demand Base Matrix'!J$33+'Demand Base Matrix'!J$34*$AF$2),IF($C60="Bond",(('Demand Base Matrix'!J$55+'Demand Base Matrix'!J$59)*$AC$2*$AD$2*$AE$2+('Demand Base Matrix'!J$56+'Demand Base Matrix'!J$57)*$W$2*$AD$2+'Demand Base Matrix'!J$58*$W$2*$AD$2*$AE$2+'Demand Base Matrix'!J$60+'Demand Base Matrix'!J$61*$AF$2),IF($C60="Explore",('Demand Base Matrix'!J$82*$AC$2*$AD$2*$AE$2*$AF$2+'Demand Base Matrix'!J$83*$W$2*$AC$2*$AD$2*$AE$2*$AF$2+'Demand Base Matrix'!J$84)))))</f>
        <v>8</v>
      </c>
      <c r="AP60" s="5"/>
      <c r="AQ60" s="5"/>
      <c r="AR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</row>
    <row r="61" spans="1:95" x14ac:dyDescent="0.2">
      <c r="A61" t="s">
        <v>772</v>
      </c>
      <c r="B61" t="s">
        <v>711</v>
      </c>
      <c r="C61" t="s">
        <v>23</v>
      </c>
      <c r="D61" t="s">
        <v>178</v>
      </c>
      <c r="E61" t="s">
        <v>115</v>
      </c>
      <c r="F61" t="s">
        <v>51</v>
      </c>
      <c r="I61" t="str">
        <f>IFERROR(INDEX('Customer 360'!F:F,MATCH(B61,'Customer 360'!A:A,0)),"-")</f>
        <v>D</v>
      </c>
      <c r="J61">
        <v>4179</v>
      </c>
      <c r="K61">
        <v>0</v>
      </c>
      <c r="L61" s="4">
        <v>46272</v>
      </c>
      <c r="M61" s="4">
        <v>46272</v>
      </c>
      <c r="N61">
        <v>2026</v>
      </c>
      <c r="O61" s="4">
        <v>46082</v>
      </c>
      <c r="P61" t="s">
        <v>217</v>
      </c>
      <c r="Q61" s="18">
        <f t="shared" si="0"/>
        <v>46082</v>
      </c>
      <c r="R61" s="18">
        <f>IFERROR(IF(M61&lt;&gt;"",M61,IF(L61&lt;&gt;"",L61,INDEX('CSM RDD'!B:B,MATCH(B61,'CSM RDD'!A:A,0)))),"-")</f>
        <v>46272</v>
      </c>
      <c r="S61" s="18">
        <f t="shared" si="7"/>
        <v>46082</v>
      </c>
      <c r="T61" s="18">
        <f t="shared" si="8"/>
        <v>46266</v>
      </c>
      <c r="U61" s="6">
        <f t="shared" si="9"/>
        <v>4179</v>
      </c>
      <c r="V61" s="18">
        <f t="shared" si="18"/>
        <v>46082</v>
      </c>
      <c r="W61">
        <f>IF(U61=0,1,IF(U61&lt;='Demand Base Matrix'!$K$3,'Demand Base Matrix'!$L$3,IF(U61&lt;='Demand Base Matrix'!$K$4,'Demand Base Matrix'!$L$4,IF(U61&lt;='Demand Base Matrix'!$K$5,'Demand Base Matrix'!$L$5,IF(U61&lt;='Demand Base Matrix'!$K$6,'Demand Base Matrix'!$L$6,IF(U61&lt;='Demand Base Matrix'!$K$7,'Demand Base Matrix'!$L$7))))))</f>
        <v>1</v>
      </c>
      <c r="X61" s="4">
        <f t="shared" si="10"/>
        <v>46266</v>
      </c>
      <c r="Y61" t="str">
        <f t="shared" si="11"/>
        <v>Dx</v>
      </c>
      <c r="Z61" t="s">
        <v>220</v>
      </c>
      <c r="AA61" t="s">
        <v>220</v>
      </c>
      <c r="AB61" t="s">
        <v>220</v>
      </c>
      <c r="AC61">
        <f>IFERROR(INDEX('Demand Base Matrix'!AM:AM,MATCH(Y61,'Demand Base Matrix'!AL:AL,0)),"-")</f>
        <v>1</v>
      </c>
      <c r="AD61">
        <f>IFERROR(INDEX('Demand Base Matrix'!AO:AO,MATCH(Z61,'Demand Base Matrix'!AN:AN,0)),1)</f>
        <v>1</v>
      </c>
      <c r="AE61">
        <f>IFERROR(INDEX('Demand Base Matrix'!AQ:AQ,MATCH(AA61,'Demand Base Matrix'!AP:AP,0)),1)</f>
        <v>1</v>
      </c>
      <c r="AF61">
        <f>IFERROR(INDEX('Demand Base Matrix'!AS:AS,MATCH(AB61,'Demand Base Matrix'!AR:AR,0)),1)</f>
        <v>1</v>
      </c>
      <c r="AG61">
        <f>IF($C61="Validate",(('Demand Base Matrix'!D$2+'Demand Base Matrix'!D$6)*$AC$2*$AD$2*$AE$2+('Demand Base Matrix'!D$3+'Demand Base Matrix'!D$4)*$W$2*$AD$2+'Demand Base Matrix'!D$5*$W$2*$AD$2*$AE$2+'Demand Base Matrix'!D$7+'Demand Base Matrix'!D$8*$AF$2),IF($C61="Integrate",(('Demand Base Matrix'!D$28+'Demand Base Matrix'!D$32)*$AC$2*$AD$2*$AE$2+('Demand Base Matrix'!D$29+'Demand Base Matrix'!D$30)*$W$2*$AD$2+'Demand Base Matrix'!D$31*$W$2*$AD$2*$AE$2+'Demand Base Matrix'!D$33+'Demand Base Matrix'!D$34*$AF$2),IF($C61="Bond",(('Demand Base Matrix'!D$55+'Demand Base Matrix'!D$59)*$AC$2*$AD$2*$AE$2+('Demand Base Matrix'!D$56+'Demand Base Matrix'!D$57)*$W$2*$AD$2+'Demand Base Matrix'!D$58*$W$2*$AD$2*$AE$2+'Demand Base Matrix'!D$60+'Demand Base Matrix'!D$61*$AF$2),IF($C61="Explore",('Demand Base Matrix'!D$82*$AC$2*$AD$2*$AE$2*$AF$2+'Demand Base Matrix'!D$83*$W$2*$AC$2*$AD$2*$AE$2*$AF$2+'Demand Base Matrix'!D$84)))))</f>
        <v>10</v>
      </c>
      <c r="AH61">
        <f>IF($C61="Validate",(('Demand Base Matrix'!E$2+'Demand Base Matrix'!E$6)*$AC$2*$AD$2*$AE$2+('Demand Base Matrix'!E$3+'Demand Base Matrix'!E$4)*$W$2*$AD$2+'Demand Base Matrix'!E$5*$W$2*$AD$2*$AE$2+'Demand Base Matrix'!E$7+'Demand Base Matrix'!E$8*$AF$2),IF($C61="Integrate",(('Demand Base Matrix'!E$28+'Demand Base Matrix'!E$32)*$AC$2*$AD$2*$AE$2+('Demand Base Matrix'!E$29+'Demand Base Matrix'!E$30)*$W$2*$AD$2+'Demand Base Matrix'!E$31*$W$2*$AD$2*$AE$2+'Demand Base Matrix'!E$33+'Demand Base Matrix'!E$34*$AF$2),IF($C61="Bond",(('Demand Base Matrix'!E$55+'Demand Base Matrix'!E$59)*$AC$2*$AD$2*$AE$2+('Demand Base Matrix'!E$56+'Demand Base Matrix'!E$57)*$W$2*$AD$2+'Demand Base Matrix'!E$58*$W$2*$AD$2*$AE$2+'Demand Base Matrix'!E$60+'Demand Base Matrix'!E$61*$AF$2),IF($C61="Explore",('Demand Base Matrix'!E$82*$AC$2*$AD$2*$AE$2*$AF$2+'Demand Base Matrix'!E$83*$W$2*$AC$2*$AD$2*$AE$2*$AF$2+'Demand Base Matrix'!E$84)))))</f>
        <v>10</v>
      </c>
      <c r="AI61">
        <f>IF($C61="Validate",(('Demand Base Matrix'!F$2+'Demand Base Matrix'!F$6)*$AC$2*$AD$2*$AE$2+('Demand Base Matrix'!F$3+'Demand Base Matrix'!F$4)*$W$2*$AD$2+'Demand Base Matrix'!F$5*$W$2*$AD$2*$AE$2+'Demand Base Matrix'!F$7+'Demand Base Matrix'!F$8*$AF$2),IF($C61="Integrate",(('Demand Base Matrix'!F$28+'Demand Base Matrix'!F$32)*$AC$2*$AD$2*$AE$2+('Demand Base Matrix'!F$29+'Demand Base Matrix'!F$30)*$W$2*$AD$2+'Demand Base Matrix'!F$31*$W$2*$AD$2*$AE$2+'Demand Base Matrix'!F$33+'Demand Base Matrix'!F$34*$AF$2),IF($C61="Bond",(('Demand Base Matrix'!F$55+'Demand Base Matrix'!F$59)*$AC$2*$AD$2*$AE$2+('Demand Base Matrix'!F$56+'Demand Base Matrix'!F$57)*$W$2*$AD$2+'Demand Base Matrix'!F$58*$W$2*$AD$2*$AE$2+'Demand Base Matrix'!F$60+'Demand Base Matrix'!F$61*$AF$2),IF($C61="Explore",('Demand Base Matrix'!F$82*$AC$2*$AD$2*$AE$2*$AF$2+'Demand Base Matrix'!F$83*$W$2*$AC$2*$AD$2*$AE$2*$AF$2+'Demand Base Matrix'!F$84)))))</f>
        <v>10</v>
      </c>
      <c r="AJ61">
        <f>IF($C61="Validate",(('Demand Base Matrix'!G$2+'Demand Base Matrix'!G$6)*$AC$2*$AD$2*$AE$2+('Demand Base Matrix'!G$3+'Demand Base Matrix'!G$4)*$W$2*$AD$2+'Demand Base Matrix'!G$5*$W$2*$AD$2*$AE$2+'Demand Base Matrix'!G$7+'Demand Base Matrix'!G$8*$AF$2),IF($C61="Integrate",(('Demand Base Matrix'!G$28+'Demand Base Matrix'!G$32)*$AC$2*$AD$2*$AE$2+('Demand Base Matrix'!G$29+'Demand Base Matrix'!G$30)*$W$2*$AD$2+'Demand Base Matrix'!G$31*$W$2*$AD$2*$AE$2+'Demand Base Matrix'!G$33+'Demand Base Matrix'!G$34*$AF$2),IF($C61="Bond",(('Demand Base Matrix'!G$55+'Demand Base Matrix'!G$59)*$AC$2*$AD$2*$AE$2+('Demand Base Matrix'!G$56+'Demand Base Matrix'!G$57)*$W$2*$AD$2+'Demand Base Matrix'!G$58*$W$2*$AD$2*$AE$2+'Demand Base Matrix'!G$60+'Demand Base Matrix'!G$61*$AF$2),IF($C61="Explore",('Demand Base Matrix'!G$82*$AC$2*$AD$2*$AE$2*$AF$2+'Demand Base Matrix'!G$83*$W$2*$AC$2*$AD$2*$AE$2*$AF$2+'Demand Base Matrix'!G$84)))))</f>
        <v>50</v>
      </c>
      <c r="AK61">
        <f>IF($C61="Validate",(('Demand Base Matrix'!H$2+'Demand Base Matrix'!H$6)*$AC$2*$AD$2*$AE$2+('Demand Base Matrix'!H$3+'Demand Base Matrix'!H$4)*$W$2*$AD$2+'Demand Base Matrix'!H$5*$W$2*$AD$2*$AE$2+'Demand Base Matrix'!H$7+'Demand Base Matrix'!H$8*$AF$2),IF($C61="Integrate",(('Demand Base Matrix'!H$28+'Demand Base Matrix'!H$32)*$AC$2*$AD$2*$AE$2+('Demand Base Matrix'!H$29+'Demand Base Matrix'!H$30)*$W$2*$AD$2+'Demand Base Matrix'!H$31*$W$2*$AD$2*$AE$2+'Demand Base Matrix'!H$33+'Demand Base Matrix'!H$34*$AF$2),IF($C61="Bond",(('Demand Base Matrix'!H$55+'Demand Base Matrix'!H$59)*$AC$2*$AD$2*$AE$2+('Demand Base Matrix'!H$56+'Demand Base Matrix'!H$57)*$W$2*$AD$2+'Demand Base Matrix'!H$58*$W$2*$AD$2*$AE$2+'Demand Base Matrix'!H$60+'Demand Base Matrix'!H$61*$AF$2),IF($C61="Explore",('Demand Base Matrix'!H$82*$AC$2*$AD$2*$AE$2*$AF$2+'Demand Base Matrix'!H$83*$W$2*$AC$2*$AD$2*$AE$2*$AF$2+'Demand Base Matrix'!H$84)))))</f>
        <v>28</v>
      </c>
      <c r="AL61">
        <f>IF($C61="Validate",(('Demand Base Matrix'!I$2+'Demand Base Matrix'!I$6)*$AC$2*$AD$2*$AE$2+('Demand Base Matrix'!I$3+'Demand Base Matrix'!I$4)*$W$2*$AD$2+'Demand Base Matrix'!I$5*$W$2*$AD$2*$AE$2+'Demand Base Matrix'!I$7+'Demand Base Matrix'!I$8*$AF$2),IF($C61="Integrate",(('Demand Base Matrix'!I$28+'Demand Base Matrix'!I$32)*$AC$2*$AD$2*$AE$2+('Demand Base Matrix'!I$29+'Demand Base Matrix'!I$30)*$W$2*$AD$2+'Demand Base Matrix'!I$31*$W$2*$AD$2*$AE$2+'Demand Base Matrix'!I$33+'Demand Base Matrix'!I$34*$AF$2),IF($C61="Bond",(('Demand Base Matrix'!I$55+'Demand Base Matrix'!I$59)*$AC$2*$AD$2*$AE$2+('Demand Base Matrix'!I$56+'Demand Base Matrix'!I$57)*$W$2*$AD$2+'Demand Base Matrix'!I$58*$W$2*$AD$2*$AE$2+'Demand Base Matrix'!I$60+'Demand Base Matrix'!I$61*$AF$2),IF($C61="Explore",('Demand Base Matrix'!I$82*$AC$2*$AD$2*$AE$2*$AF$2+'Demand Base Matrix'!I$83*$W$2*$AC$2*$AD$2*$AE$2*$AF$2+'Demand Base Matrix'!I$84)))))</f>
        <v>8</v>
      </c>
      <c r="AM61">
        <f>IF($C61="Validate",(('Demand Base Matrix'!J$2+'Demand Base Matrix'!J$6)*$AC$2*$AD$2*$AE$2+('Demand Base Matrix'!J$3+'Demand Base Matrix'!J$4)*$W$2*$AD$2+'Demand Base Matrix'!J$5*$W$2*$AD$2*$AE$2+'Demand Base Matrix'!J$7+'Demand Base Matrix'!J$8*$AF$2),IF($C61="Integrate",(('Demand Base Matrix'!J$28+'Demand Base Matrix'!J$32)*$AC$2*$AD$2*$AE$2+('Demand Base Matrix'!J$29+'Demand Base Matrix'!J$30)*$W$2*$AD$2+'Demand Base Matrix'!J$31*$W$2*$AD$2*$AE$2+'Demand Base Matrix'!J$33+'Demand Base Matrix'!J$34*$AF$2),IF($C61="Bond",(('Demand Base Matrix'!J$55+'Demand Base Matrix'!J$59)*$AC$2*$AD$2*$AE$2+('Demand Base Matrix'!J$56+'Demand Base Matrix'!J$57)*$W$2*$AD$2+'Demand Base Matrix'!J$58*$W$2*$AD$2*$AE$2+'Demand Base Matrix'!J$60+'Demand Base Matrix'!J$61*$AF$2),IF($C61="Explore",('Demand Base Matrix'!J$82*$AC$2*$AD$2*$AE$2*$AF$2+'Demand Base Matrix'!J$83*$W$2*$AC$2*$AD$2*$AE$2*$AF$2+'Demand Base Matrix'!J$84)))))</f>
        <v>8</v>
      </c>
      <c r="AP61" s="5"/>
      <c r="AQ61" s="5"/>
      <c r="AR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</row>
    <row r="62" spans="1:95" x14ac:dyDescent="0.2">
      <c r="A62" t="s">
        <v>773</v>
      </c>
      <c r="B62" t="s">
        <v>88</v>
      </c>
      <c r="C62" t="s">
        <v>23</v>
      </c>
      <c r="D62" t="s">
        <v>177</v>
      </c>
      <c r="E62" t="s">
        <v>116</v>
      </c>
      <c r="F62" t="s">
        <v>93</v>
      </c>
      <c r="I62" t="str">
        <f>IFERROR(INDEX('Customer 360'!F:F,MATCH(B62,'Customer 360'!A:A,0)),"-")</f>
        <v>NA</v>
      </c>
      <c r="J62">
        <v>8497</v>
      </c>
      <c r="K62">
        <v>0</v>
      </c>
      <c r="L62" s="4">
        <v>46303</v>
      </c>
      <c r="M62" s="4">
        <v>46303</v>
      </c>
      <c r="N62">
        <v>2026</v>
      </c>
      <c r="O62" s="4">
        <v>46023</v>
      </c>
      <c r="P62" t="s">
        <v>217</v>
      </c>
      <c r="Q62" s="18">
        <f t="shared" si="0"/>
        <v>46023</v>
      </c>
      <c r="R62" s="18">
        <f>IFERROR(IF(M62&lt;&gt;"",M62,IF(L62&lt;&gt;"",L62,INDEX('CSM RDD'!B:B,MATCH(B62,'CSM RDD'!A:A,0)))),"-")</f>
        <v>46303</v>
      </c>
      <c r="S62" s="18">
        <f t="shared" si="7"/>
        <v>46023</v>
      </c>
      <c r="T62" s="18">
        <f t="shared" si="8"/>
        <v>46296</v>
      </c>
      <c r="U62" s="6">
        <f t="shared" si="9"/>
        <v>8497</v>
      </c>
      <c r="V62" s="18">
        <f t="shared" si="18"/>
        <v>46082</v>
      </c>
      <c r="W62">
        <f>IF(U62=0,1,IF(U62&lt;='Demand Base Matrix'!$K$3,'Demand Base Matrix'!$L$3,IF(U62&lt;='Demand Base Matrix'!$K$4,'Demand Base Matrix'!$L$4,IF(U62&lt;='Demand Base Matrix'!$K$5,'Demand Base Matrix'!$L$5,IF(U62&lt;='Demand Base Matrix'!$K$6,'Demand Base Matrix'!$L$6,IF(U62&lt;='Demand Base Matrix'!$K$7,'Demand Base Matrix'!$L$7))))))</f>
        <v>1.25</v>
      </c>
      <c r="X62" s="4">
        <f t="shared" si="10"/>
        <v>46296</v>
      </c>
      <c r="Y62" t="str">
        <f t="shared" si="11"/>
        <v>Dx</v>
      </c>
      <c r="Z62" t="s">
        <v>685</v>
      </c>
      <c r="AA62" t="s">
        <v>685</v>
      </c>
      <c r="AB62" t="s">
        <v>685</v>
      </c>
      <c r="AC62">
        <f>IFERROR(INDEX('Demand Base Matrix'!AM:AM,MATCH(Y62,'Demand Base Matrix'!AL:AL,0)),"-")</f>
        <v>1</v>
      </c>
      <c r="AD62">
        <f>IFERROR(INDEX('Demand Base Matrix'!AO:AO,MATCH(Z62,'Demand Base Matrix'!AN:AN,0)),1)</f>
        <v>1</v>
      </c>
      <c r="AE62">
        <f>IFERROR(INDEX('Demand Base Matrix'!AQ:AQ,MATCH(AA62,'Demand Base Matrix'!AP:AP,0)),1)</f>
        <v>1</v>
      </c>
      <c r="AF62">
        <f>IFERROR(INDEX('Demand Base Matrix'!AS:AS,MATCH(AB62,'Demand Base Matrix'!AR:AR,0)),1)</f>
        <v>1</v>
      </c>
      <c r="AG62">
        <f>IF($C62="Validate",(('Demand Base Matrix'!D$2+'Demand Base Matrix'!D$6)*$AC$2*$AD$2*$AE$2+('Demand Base Matrix'!D$3+'Demand Base Matrix'!D$4)*$W$2*$AD$2+'Demand Base Matrix'!D$5*$W$2*$AD$2*$AE$2+'Demand Base Matrix'!D$7+'Demand Base Matrix'!D$8*$AF$2),IF($C62="Integrate",(('Demand Base Matrix'!D$28+'Demand Base Matrix'!D$32)*$AC$2*$AD$2*$AE$2+('Demand Base Matrix'!D$29+'Demand Base Matrix'!D$30)*$W$2*$AD$2+'Demand Base Matrix'!D$31*$W$2*$AD$2*$AE$2+'Demand Base Matrix'!D$33+'Demand Base Matrix'!D$34*$AF$2),IF($C62="Bond",(('Demand Base Matrix'!D$55+'Demand Base Matrix'!D$59)*$AC$2*$AD$2*$AE$2+('Demand Base Matrix'!D$56+'Demand Base Matrix'!D$57)*$W$2*$AD$2+'Demand Base Matrix'!D$58*$W$2*$AD$2*$AE$2+'Demand Base Matrix'!D$60+'Demand Base Matrix'!D$61*$AF$2),IF($C62="Explore",('Demand Base Matrix'!D$82*$AC$2*$AD$2*$AE$2*$AF$2+'Demand Base Matrix'!D$83*$W$2*$AC$2*$AD$2*$AE$2*$AF$2+'Demand Base Matrix'!D$84)))))</f>
        <v>10</v>
      </c>
      <c r="AH62">
        <f>IF($C62="Validate",(('Demand Base Matrix'!E$2+'Demand Base Matrix'!E$6)*$AC$2*$AD$2*$AE$2+('Demand Base Matrix'!E$3+'Demand Base Matrix'!E$4)*$W$2*$AD$2+'Demand Base Matrix'!E$5*$W$2*$AD$2*$AE$2+'Demand Base Matrix'!E$7+'Demand Base Matrix'!E$8*$AF$2),IF($C62="Integrate",(('Demand Base Matrix'!E$28+'Demand Base Matrix'!E$32)*$AC$2*$AD$2*$AE$2+('Demand Base Matrix'!E$29+'Demand Base Matrix'!E$30)*$W$2*$AD$2+'Demand Base Matrix'!E$31*$W$2*$AD$2*$AE$2+'Demand Base Matrix'!E$33+'Demand Base Matrix'!E$34*$AF$2),IF($C62="Bond",(('Demand Base Matrix'!E$55+'Demand Base Matrix'!E$59)*$AC$2*$AD$2*$AE$2+('Demand Base Matrix'!E$56+'Demand Base Matrix'!E$57)*$W$2*$AD$2+'Demand Base Matrix'!E$58*$W$2*$AD$2*$AE$2+'Demand Base Matrix'!E$60+'Demand Base Matrix'!E$61*$AF$2),IF($C62="Explore",('Demand Base Matrix'!E$82*$AC$2*$AD$2*$AE$2*$AF$2+'Demand Base Matrix'!E$83*$W$2*$AC$2*$AD$2*$AE$2*$AF$2+'Demand Base Matrix'!E$84)))))</f>
        <v>10</v>
      </c>
      <c r="AI62">
        <f>IF($C62="Validate",(('Demand Base Matrix'!F$2+'Demand Base Matrix'!F$6)*$AC$2*$AD$2*$AE$2+('Demand Base Matrix'!F$3+'Demand Base Matrix'!F$4)*$W$2*$AD$2+'Demand Base Matrix'!F$5*$W$2*$AD$2*$AE$2+'Demand Base Matrix'!F$7+'Demand Base Matrix'!F$8*$AF$2),IF($C62="Integrate",(('Demand Base Matrix'!F$28+'Demand Base Matrix'!F$32)*$AC$2*$AD$2*$AE$2+('Demand Base Matrix'!F$29+'Demand Base Matrix'!F$30)*$W$2*$AD$2+'Demand Base Matrix'!F$31*$W$2*$AD$2*$AE$2+'Demand Base Matrix'!F$33+'Demand Base Matrix'!F$34*$AF$2),IF($C62="Bond",(('Demand Base Matrix'!F$55+'Demand Base Matrix'!F$59)*$AC$2*$AD$2*$AE$2+('Demand Base Matrix'!F$56+'Demand Base Matrix'!F$57)*$W$2*$AD$2+'Demand Base Matrix'!F$58*$W$2*$AD$2*$AE$2+'Demand Base Matrix'!F$60+'Demand Base Matrix'!F$61*$AF$2),IF($C62="Explore",('Demand Base Matrix'!F$82*$AC$2*$AD$2*$AE$2*$AF$2+'Demand Base Matrix'!F$83*$W$2*$AC$2*$AD$2*$AE$2*$AF$2+'Demand Base Matrix'!F$84)))))</f>
        <v>10</v>
      </c>
      <c r="AJ62">
        <f>IF($C62="Validate",(('Demand Base Matrix'!G$2+'Demand Base Matrix'!G$6)*$AC$2*$AD$2*$AE$2+('Demand Base Matrix'!G$3+'Demand Base Matrix'!G$4)*$W$2*$AD$2+'Demand Base Matrix'!G$5*$W$2*$AD$2*$AE$2+'Demand Base Matrix'!G$7+'Demand Base Matrix'!G$8*$AF$2),IF($C62="Integrate",(('Demand Base Matrix'!G$28+'Demand Base Matrix'!G$32)*$AC$2*$AD$2*$AE$2+('Demand Base Matrix'!G$29+'Demand Base Matrix'!G$30)*$W$2*$AD$2+'Demand Base Matrix'!G$31*$W$2*$AD$2*$AE$2+'Demand Base Matrix'!G$33+'Demand Base Matrix'!G$34*$AF$2),IF($C62="Bond",(('Demand Base Matrix'!G$55+'Demand Base Matrix'!G$59)*$AC$2*$AD$2*$AE$2+('Demand Base Matrix'!G$56+'Demand Base Matrix'!G$57)*$W$2*$AD$2+'Demand Base Matrix'!G$58*$W$2*$AD$2*$AE$2+'Demand Base Matrix'!G$60+'Demand Base Matrix'!G$61*$AF$2),IF($C62="Explore",('Demand Base Matrix'!G$82*$AC$2*$AD$2*$AE$2*$AF$2+'Demand Base Matrix'!G$83*$W$2*$AC$2*$AD$2*$AE$2*$AF$2+'Demand Base Matrix'!G$84)))))</f>
        <v>50</v>
      </c>
      <c r="AK62">
        <f>IF($C62="Validate",(('Demand Base Matrix'!H$2+'Demand Base Matrix'!H$6)*$AC$2*$AD$2*$AE$2+('Demand Base Matrix'!H$3+'Demand Base Matrix'!H$4)*$W$2*$AD$2+'Demand Base Matrix'!H$5*$W$2*$AD$2*$AE$2+'Demand Base Matrix'!H$7+'Demand Base Matrix'!H$8*$AF$2),IF($C62="Integrate",(('Demand Base Matrix'!H$28+'Demand Base Matrix'!H$32)*$AC$2*$AD$2*$AE$2+('Demand Base Matrix'!H$29+'Demand Base Matrix'!H$30)*$W$2*$AD$2+'Demand Base Matrix'!H$31*$W$2*$AD$2*$AE$2+'Demand Base Matrix'!H$33+'Demand Base Matrix'!H$34*$AF$2),IF($C62="Bond",(('Demand Base Matrix'!H$55+'Demand Base Matrix'!H$59)*$AC$2*$AD$2*$AE$2+('Demand Base Matrix'!H$56+'Demand Base Matrix'!H$57)*$W$2*$AD$2+'Demand Base Matrix'!H$58*$W$2*$AD$2*$AE$2+'Demand Base Matrix'!H$60+'Demand Base Matrix'!H$61*$AF$2),IF($C62="Explore",('Demand Base Matrix'!H$82*$AC$2*$AD$2*$AE$2*$AF$2+'Demand Base Matrix'!H$83*$W$2*$AC$2*$AD$2*$AE$2*$AF$2+'Demand Base Matrix'!H$84)))))</f>
        <v>28</v>
      </c>
      <c r="AL62">
        <f>IF($C62="Validate",(('Demand Base Matrix'!I$2+'Demand Base Matrix'!I$6)*$AC$2*$AD$2*$AE$2+('Demand Base Matrix'!I$3+'Demand Base Matrix'!I$4)*$W$2*$AD$2+'Demand Base Matrix'!I$5*$W$2*$AD$2*$AE$2+'Demand Base Matrix'!I$7+'Demand Base Matrix'!I$8*$AF$2),IF($C62="Integrate",(('Demand Base Matrix'!I$28+'Demand Base Matrix'!I$32)*$AC$2*$AD$2*$AE$2+('Demand Base Matrix'!I$29+'Demand Base Matrix'!I$30)*$W$2*$AD$2+'Demand Base Matrix'!I$31*$W$2*$AD$2*$AE$2+'Demand Base Matrix'!I$33+'Demand Base Matrix'!I$34*$AF$2),IF($C62="Bond",(('Demand Base Matrix'!I$55+'Demand Base Matrix'!I$59)*$AC$2*$AD$2*$AE$2+('Demand Base Matrix'!I$56+'Demand Base Matrix'!I$57)*$W$2*$AD$2+'Demand Base Matrix'!I$58*$W$2*$AD$2*$AE$2+'Demand Base Matrix'!I$60+'Demand Base Matrix'!I$61*$AF$2),IF($C62="Explore",('Demand Base Matrix'!I$82*$AC$2*$AD$2*$AE$2*$AF$2+'Demand Base Matrix'!I$83*$W$2*$AC$2*$AD$2*$AE$2*$AF$2+'Demand Base Matrix'!I$84)))))</f>
        <v>8</v>
      </c>
      <c r="AM62">
        <f>IF($C62="Validate",(('Demand Base Matrix'!J$2+'Demand Base Matrix'!J$6)*$AC$2*$AD$2*$AE$2+('Demand Base Matrix'!J$3+'Demand Base Matrix'!J$4)*$W$2*$AD$2+'Demand Base Matrix'!J$5*$W$2*$AD$2*$AE$2+'Demand Base Matrix'!J$7+'Demand Base Matrix'!J$8*$AF$2),IF($C62="Integrate",(('Demand Base Matrix'!J$28+'Demand Base Matrix'!J$32)*$AC$2*$AD$2*$AE$2+('Demand Base Matrix'!J$29+'Demand Base Matrix'!J$30)*$W$2*$AD$2+'Demand Base Matrix'!J$31*$W$2*$AD$2*$AE$2+'Demand Base Matrix'!J$33+'Demand Base Matrix'!J$34*$AF$2),IF($C62="Bond",(('Demand Base Matrix'!J$55+'Demand Base Matrix'!J$59)*$AC$2*$AD$2*$AE$2+('Demand Base Matrix'!J$56+'Demand Base Matrix'!J$57)*$W$2*$AD$2+'Demand Base Matrix'!J$58*$W$2*$AD$2*$AE$2+'Demand Base Matrix'!J$60+'Demand Base Matrix'!J$61*$AF$2),IF($C62="Explore",('Demand Base Matrix'!J$82*$AC$2*$AD$2*$AE$2*$AF$2+'Demand Base Matrix'!J$83*$W$2*$AC$2*$AD$2*$AE$2*$AF$2+'Demand Base Matrix'!J$84)))))</f>
        <v>8</v>
      </c>
      <c r="AP62" s="5"/>
      <c r="AQ62" s="5"/>
      <c r="AR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</row>
    <row r="63" spans="1:95" x14ac:dyDescent="0.2">
      <c r="A63" t="s">
        <v>774</v>
      </c>
      <c r="B63" t="s">
        <v>89</v>
      </c>
      <c r="C63" t="s">
        <v>23</v>
      </c>
      <c r="D63" t="s">
        <v>44</v>
      </c>
      <c r="E63" t="s">
        <v>119</v>
      </c>
      <c r="F63" t="s">
        <v>109</v>
      </c>
      <c r="I63" t="str">
        <f>IFERROR(INDEX('Customer 360'!F:F,MATCH(B63,'Customer 360'!A:A,0)),"-")</f>
        <v>B</v>
      </c>
      <c r="J63">
        <v>6823</v>
      </c>
      <c r="K63">
        <v>1300</v>
      </c>
      <c r="L63" s="4">
        <v>46268</v>
      </c>
      <c r="M63" s="4">
        <v>46268</v>
      </c>
      <c r="N63">
        <v>2026</v>
      </c>
      <c r="O63" s="4">
        <v>46023</v>
      </c>
      <c r="P63" t="s">
        <v>217</v>
      </c>
      <c r="Q63" s="18">
        <f t="shared" si="0"/>
        <v>46023</v>
      </c>
      <c r="R63" s="18">
        <f>IFERROR(IF(M63&lt;&gt;"",M63,IF(L63&lt;&gt;"",L63,INDEX('CSM RDD'!B:B,MATCH(B63,'CSM RDD'!A:A,0)))),"-")</f>
        <v>46268</v>
      </c>
      <c r="S63" s="18">
        <f t="shared" si="7"/>
        <v>46023</v>
      </c>
      <c r="T63" s="18">
        <f t="shared" si="8"/>
        <v>46266</v>
      </c>
      <c r="U63" s="6">
        <f t="shared" si="9"/>
        <v>8123</v>
      </c>
      <c r="V63" s="18">
        <f t="shared" si="18"/>
        <v>46082</v>
      </c>
      <c r="W63">
        <f>IF(U63=0,1,IF(U63&lt;='Demand Base Matrix'!$K$3,'Demand Base Matrix'!$L$3,IF(U63&lt;='Demand Base Matrix'!$K$4,'Demand Base Matrix'!$L$4,IF(U63&lt;='Demand Base Matrix'!$K$5,'Demand Base Matrix'!$L$5,IF(U63&lt;='Demand Base Matrix'!$K$6,'Demand Base Matrix'!$L$6,IF(U63&lt;='Demand Base Matrix'!$K$7,'Demand Base Matrix'!$L$7))))))</f>
        <v>1.25</v>
      </c>
      <c r="X63" s="4">
        <f t="shared" si="10"/>
        <v>46266</v>
      </c>
      <c r="Y63" t="str">
        <f t="shared" si="11"/>
        <v>Tx</v>
      </c>
      <c r="Z63" t="s">
        <v>685</v>
      </c>
      <c r="AA63" t="s">
        <v>685</v>
      </c>
      <c r="AB63" t="s">
        <v>685</v>
      </c>
      <c r="AC63">
        <f>IFERROR(INDEX('Demand Base Matrix'!AM:AM,MATCH(Y63,'Demand Base Matrix'!AL:AL,0)),"-")</f>
        <v>1.5</v>
      </c>
      <c r="AD63">
        <f>IFERROR(INDEX('Demand Base Matrix'!AO:AO,MATCH(Z63,'Demand Base Matrix'!AN:AN,0)),1)</f>
        <v>1</v>
      </c>
      <c r="AE63">
        <f>IFERROR(INDEX('Demand Base Matrix'!AQ:AQ,MATCH(AA63,'Demand Base Matrix'!AP:AP,0)),1)</f>
        <v>1</v>
      </c>
      <c r="AF63">
        <f>IFERROR(INDEX('Demand Base Matrix'!AS:AS,MATCH(AB63,'Demand Base Matrix'!AR:AR,0)),1)</f>
        <v>1</v>
      </c>
      <c r="AG63">
        <f>IF($C63="Validate",(('Demand Base Matrix'!D$2+'Demand Base Matrix'!D$6)*$AC$2*$AD$2*$AE$2+('Demand Base Matrix'!D$3+'Demand Base Matrix'!D$4)*$W$2*$AD$2+'Demand Base Matrix'!D$5*$W$2*$AD$2*$AE$2+'Demand Base Matrix'!D$7+'Demand Base Matrix'!D$8*$AF$2),IF($C63="Integrate",(('Demand Base Matrix'!D$28+'Demand Base Matrix'!D$32)*$AC$2*$AD$2*$AE$2+('Demand Base Matrix'!D$29+'Demand Base Matrix'!D$30)*$W$2*$AD$2+'Demand Base Matrix'!D$31*$W$2*$AD$2*$AE$2+'Demand Base Matrix'!D$33+'Demand Base Matrix'!D$34*$AF$2),IF($C63="Bond",(('Demand Base Matrix'!D$55+'Demand Base Matrix'!D$59)*$AC$2*$AD$2*$AE$2+('Demand Base Matrix'!D$56+'Demand Base Matrix'!D$57)*$W$2*$AD$2+'Demand Base Matrix'!D$58*$W$2*$AD$2*$AE$2+'Demand Base Matrix'!D$60+'Demand Base Matrix'!D$61*$AF$2),IF($C63="Explore",('Demand Base Matrix'!D$82*$AC$2*$AD$2*$AE$2*$AF$2+'Demand Base Matrix'!D$83*$W$2*$AC$2*$AD$2*$AE$2*$AF$2+'Demand Base Matrix'!D$84)))))</f>
        <v>10</v>
      </c>
      <c r="AH63">
        <f>IF($C63="Validate",(('Demand Base Matrix'!E$2+'Demand Base Matrix'!E$6)*$AC$2*$AD$2*$AE$2+('Demand Base Matrix'!E$3+'Demand Base Matrix'!E$4)*$W$2*$AD$2+'Demand Base Matrix'!E$5*$W$2*$AD$2*$AE$2+'Demand Base Matrix'!E$7+'Demand Base Matrix'!E$8*$AF$2),IF($C63="Integrate",(('Demand Base Matrix'!E$28+'Demand Base Matrix'!E$32)*$AC$2*$AD$2*$AE$2+('Demand Base Matrix'!E$29+'Demand Base Matrix'!E$30)*$W$2*$AD$2+'Demand Base Matrix'!E$31*$W$2*$AD$2*$AE$2+'Demand Base Matrix'!E$33+'Demand Base Matrix'!E$34*$AF$2),IF($C63="Bond",(('Demand Base Matrix'!E$55+'Demand Base Matrix'!E$59)*$AC$2*$AD$2*$AE$2+('Demand Base Matrix'!E$56+'Demand Base Matrix'!E$57)*$W$2*$AD$2+'Demand Base Matrix'!E$58*$W$2*$AD$2*$AE$2+'Demand Base Matrix'!E$60+'Demand Base Matrix'!E$61*$AF$2),IF($C63="Explore",('Demand Base Matrix'!E$82*$AC$2*$AD$2*$AE$2*$AF$2+'Demand Base Matrix'!E$83*$W$2*$AC$2*$AD$2*$AE$2*$AF$2+'Demand Base Matrix'!E$84)))))</f>
        <v>10</v>
      </c>
      <c r="AI63">
        <f>IF($C63="Validate",(('Demand Base Matrix'!F$2+'Demand Base Matrix'!F$6)*$AC$2*$AD$2*$AE$2+('Demand Base Matrix'!F$3+'Demand Base Matrix'!F$4)*$W$2*$AD$2+'Demand Base Matrix'!F$5*$W$2*$AD$2*$AE$2+'Demand Base Matrix'!F$7+'Demand Base Matrix'!F$8*$AF$2),IF($C63="Integrate",(('Demand Base Matrix'!F$28+'Demand Base Matrix'!F$32)*$AC$2*$AD$2*$AE$2+('Demand Base Matrix'!F$29+'Demand Base Matrix'!F$30)*$W$2*$AD$2+'Demand Base Matrix'!F$31*$W$2*$AD$2*$AE$2+'Demand Base Matrix'!F$33+'Demand Base Matrix'!F$34*$AF$2),IF($C63="Bond",(('Demand Base Matrix'!F$55+'Demand Base Matrix'!F$59)*$AC$2*$AD$2*$AE$2+('Demand Base Matrix'!F$56+'Demand Base Matrix'!F$57)*$W$2*$AD$2+'Demand Base Matrix'!F$58*$W$2*$AD$2*$AE$2+'Demand Base Matrix'!F$60+'Demand Base Matrix'!F$61*$AF$2),IF($C63="Explore",('Demand Base Matrix'!F$82*$AC$2*$AD$2*$AE$2*$AF$2+'Demand Base Matrix'!F$83*$W$2*$AC$2*$AD$2*$AE$2*$AF$2+'Demand Base Matrix'!F$84)))))</f>
        <v>10</v>
      </c>
      <c r="AJ63">
        <f>IF($C63="Validate",(('Demand Base Matrix'!G$2+'Demand Base Matrix'!G$6)*$AC$2*$AD$2*$AE$2+('Demand Base Matrix'!G$3+'Demand Base Matrix'!G$4)*$W$2*$AD$2+'Demand Base Matrix'!G$5*$W$2*$AD$2*$AE$2+'Demand Base Matrix'!G$7+'Demand Base Matrix'!G$8*$AF$2),IF($C63="Integrate",(('Demand Base Matrix'!G$28+'Demand Base Matrix'!G$32)*$AC$2*$AD$2*$AE$2+('Demand Base Matrix'!G$29+'Demand Base Matrix'!G$30)*$W$2*$AD$2+'Demand Base Matrix'!G$31*$W$2*$AD$2*$AE$2+'Demand Base Matrix'!G$33+'Demand Base Matrix'!G$34*$AF$2),IF($C63="Bond",(('Demand Base Matrix'!G$55+'Demand Base Matrix'!G$59)*$AC$2*$AD$2*$AE$2+('Demand Base Matrix'!G$56+'Demand Base Matrix'!G$57)*$W$2*$AD$2+'Demand Base Matrix'!G$58*$W$2*$AD$2*$AE$2+'Demand Base Matrix'!G$60+'Demand Base Matrix'!G$61*$AF$2),IF($C63="Explore",('Demand Base Matrix'!G$82*$AC$2*$AD$2*$AE$2*$AF$2+'Demand Base Matrix'!G$83*$W$2*$AC$2*$AD$2*$AE$2*$AF$2+'Demand Base Matrix'!G$84)))))</f>
        <v>50</v>
      </c>
      <c r="AK63">
        <f>IF($C63="Validate",(('Demand Base Matrix'!H$2+'Demand Base Matrix'!H$6)*$AC$2*$AD$2*$AE$2+('Demand Base Matrix'!H$3+'Demand Base Matrix'!H$4)*$W$2*$AD$2+'Demand Base Matrix'!H$5*$W$2*$AD$2*$AE$2+'Demand Base Matrix'!H$7+'Demand Base Matrix'!H$8*$AF$2),IF($C63="Integrate",(('Demand Base Matrix'!H$28+'Demand Base Matrix'!H$32)*$AC$2*$AD$2*$AE$2+('Demand Base Matrix'!H$29+'Demand Base Matrix'!H$30)*$W$2*$AD$2+'Demand Base Matrix'!H$31*$W$2*$AD$2*$AE$2+'Demand Base Matrix'!H$33+'Demand Base Matrix'!H$34*$AF$2),IF($C63="Bond",(('Demand Base Matrix'!H$55+'Demand Base Matrix'!H$59)*$AC$2*$AD$2*$AE$2+('Demand Base Matrix'!H$56+'Demand Base Matrix'!H$57)*$W$2*$AD$2+'Demand Base Matrix'!H$58*$W$2*$AD$2*$AE$2+'Demand Base Matrix'!H$60+'Demand Base Matrix'!H$61*$AF$2),IF($C63="Explore",('Demand Base Matrix'!H$82*$AC$2*$AD$2*$AE$2*$AF$2+'Demand Base Matrix'!H$83*$W$2*$AC$2*$AD$2*$AE$2*$AF$2+'Demand Base Matrix'!H$84)))))</f>
        <v>28</v>
      </c>
      <c r="AL63">
        <f>IF($C63="Validate",(('Demand Base Matrix'!I$2+'Demand Base Matrix'!I$6)*$AC$2*$AD$2*$AE$2+('Demand Base Matrix'!I$3+'Demand Base Matrix'!I$4)*$W$2*$AD$2+'Demand Base Matrix'!I$5*$W$2*$AD$2*$AE$2+'Demand Base Matrix'!I$7+'Demand Base Matrix'!I$8*$AF$2),IF($C63="Integrate",(('Demand Base Matrix'!I$28+'Demand Base Matrix'!I$32)*$AC$2*$AD$2*$AE$2+('Demand Base Matrix'!I$29+'Demand Base Matrix'!I$30)*$W$2*$AD$2+'Demand Base Matrix'!I$31*$W$2*$AD$2*$AE$2+'Demand Base Matrix'!I$33+'Demand Base Matrix'!I$34*$AF$2),IF($C63="Bond",(('Demand Base Matrix'!I$55+'Demand Base Matrix'!I$59)*$AC$2*$AD$2*$AE$2+('Demand Base Matrix'!I$56+'Demand Base Matrix'!I$57)*$W$2*$AD$2+'Demand Base Matrix'!I$58*$W$2*$AD$2*$AE$2+'Demand Base Matrix'!I$60+'Demand Base Matrix'!I$61*$AF$2),IF($C63="Explore",('Demand Base Matrix'!I$82*$AC$2*$AD$2*$AE$2*$AF$2+'Demand Base Matrix'!I$83*$W$2*$AC$2*$AD$2*$AE$2*$AF$2+'Demand Base Matrix'!I$84)))))</f>
        <v>8</v>
      </c>
      <c r="AM63">
        <f>IF($C63="Validate",(('Demand Base Matrix'!J$2+'Demand Base Matrix'!J$6)*$AC$2*$AD$2*$AE$2+('Demand Base Matrix'!J$3+'Demand Base Matrix'!J$4)*$W$2*$AD$2+'Demand Base Matrix'!J$5*$W$2*$AD$2*$AE$2+'Demand Base Matrix'!J$7+'Demand Base Matrix'!J$8*$AF$2),IF($C63="Integrate",(('Demand Base Matrix'!J$28+'Demand Base Matrix'!J$32)*$AC$2*$AD$2*$AE$2+('Demand Base Matrix'!J$29+'Demand Base Matrix'!J$30)*$W$2*$AD$2+'Demand Base Matrix'!J$31*$W$2*$AD$2*$AE$2+'Demand Base Matrix'!J$33+'Demand Base Matrix'!J$34*$AF$2),IF($C63="Bond",(('Demand Base Matrix'!J$55+'Demand Base Matrix'!J$59)*$AC$2*$AD$2*$AE$2+('Demand Base Matrix'!J$56+'Demand Base Matrix'!J$57)*$W$2*$AD$2+'Demand Base Matrix'!J$58*$W$2*$AD$2*$AE$2+'Demand Base Matrix'!J$60+'Demand Base Matrix'!J$61*$AF$2),IF($C63="Explore",('Demand Base Matrix'!J$82*$AC$2*$AD$2*$AE$2*$AF$2+'Demand Base Matrix'!J$83*$W$2*$AC$2*$AD$2*$AE$2*$AF$2+'Demand Base Matrix'!J$84)))))</f>
        <v>8</v>
      </c>
      <c r="AP63" s="5"/>
      <c r="AQ63" s="5"/>
      <c r="AR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</row>
    <row r="64" spans="1:95" x14ac:dyDescent="0.2">
      <c r="A64" t="s">
        <v>822</v>
      </c>
      <c r="B64" t="s">
        <v>210</v>
      </c>
      <c r="C64" t="s">
        <v>20</v>
      </c>
      <c r="D64" t="s">
        <v>44</v>
      </c>
      <c r="E64" t="s">
        <v>119</v>
      </c>
      <c r="F64" s="1" t="s">
        <v>189</v>
      </c>
      <c r="I64" t="str">
        <f>IFERROR(INDEX('Customer 360'!F:F,MATCH(B64,'Customer 360'!A:A,0)),"-")</f>
        <v>C</v>
      </c>
      <c r="J64" s="63">
        <v>803</v>
      </c>
      <c r="K64"/>
      <c r="L64" s="4">
        <v>46127</v>
      </c>
      <c r="M64" s="4">
        <v>46127</v>
      </c>
      <c r="N64">
        <v>2026</v>
      </c>
      <c r="O64" s="4">
        <v>46023</v>
      </c>
      <c r="P64" t="s">
        <v>217</v>
      </c>
      <c r="Q64" s="18">
        <f t="shared" si="0"/>
        <v>46023</v>
      </c>
      <c r="R64" s="18">
        <f>IFERROR(IF(M64&lt;&gt;"",M64,IF(L64&lt;&gt;"",L64,INDEX('CSM RDD'!B:B,MATCH(B64,'CSM RDD'!A:A,0)))),"-")</f>
        <v>46127</v>
      </c>
      <c r="S64" s="18">
        <f t="shared" si="7"/>
        <v>46023</v>
      </c>
      <c r="T64" s="18">
        <f t="shared" si="8"/>
        <v>46113</v>
      </c>
      <c r="U64" s="6">
        <f t="shared" si="9"/>
        <v>803</v>
      </c>
      <c r="V64" s="18">
        <f t="shared" si="18"/>
        <v>46023</v>
      </c>
      <c r="W64">
        <f>IF(U64=0,1,IF(U64&lt;='Demand Base Matrix'!$K$3,'Demand Base Matrix'!$L$3,IF(U64&lt;='Demand Base Matrix'!$K$4,'Demand Base Matrix'!$L$4,IF(U64&lt;='Demand Base Matrix'!$K$5,'Demand Base Matrix'!$L$5,IF(U64&lt;='Demand Base Matrix'!$K$6,'Demand Base Matrix'!$L$6,IF(U64&lt;='Demand Base Matrix'!$K$7,'Demand Base Matrix'!$L$7))))))</f>
        <v>0.75</v>
      </c>
      <c r="X64" s="4">
        <f t="shared" si="10"/>
        <v>46113</v>
      </c>
      <c r="Y64" t="str">
        <f t="shared" si="11"/>
        <v>Dx</v>
      </c>
      <c r="Z64" t="s">
        <v>685</v>
      </c>
      <c r="AA64" t="s">
        <v>685</v>
      </c>
      <c r="AB64" t="s">
        <v>685</v>
      </c>
      <c r="AC64">
        <f>IFERROR(INDEX('Demand Base Matrix'!AM:AM,MATCH(Y64,'Demand Base Matrix'!AL:AL,0)),"-")</f>
        <v>1</v>
      </c>
      <c r="AD64">
        <f>IFERROR(INDEX('Demand Base Matrix'!AO:AO,MATCH(Z64,'Demand Base Matrix'!AN:AN,0)),1)</f>
        <v>1</v>
      </c>
      <c r="AE64">
        <f>IFERROR(INDEX('Demand Base Matrix'!AQ:AQ,MATCH(AA64,'Demand Base Matrix'!AP:AP,0)),1)</f>
        <v>1</v>
      </c>
      <c r="AF64">
        <f>IFERROR(INDEX('Demand Base Matrix'!AS:AS,MATCH(AB64,'Demand Base Matrix'!AR:AR,0)),1)</f>
        <v>1</v>
      </c>
      <c r="AG64">
        <f>IF($C64="Validate",(('Demand Base Matrix'!D$2+'Demand Base Matrix'!D$6)*$AC$2*$AD$2*$AE$2+('Demand Base Matrix'!D$3+'Demand Base Matrix'!D$4)*$W$2*$AD$2+'Demand Base Matrix'!D$5*$W$2*$AD$2*$AE$2+'Demand Base Matrix'!D$7+'Demand Base Matrix'!D$8*$AF$2),IF($C64="Integrate",(('Demand Base Matrix'!D$28+'Demand Base Matrix'!D$32)*$AC$2*$AD$2*$AE$2+('Demand Base Matrix'!D$29+'Demand Base Matrix'!D$30)*$W$2*$AD$2+'Demand Base Matrix'!D$31*$W$2*$AD$2*$AE$2+'Demand Base Matrix'!D$33+'Demand Base Matrix'!D$34*$AF$2),IF($C64="Bond",(('Demand Base Matrix'!D$55+'Demand Base Matrix'!D$59)*$AC$2*$AD$2*$AE$2+('Demand Base Matrix'!D$56+'Demand Base Matrix'!D$57)*$W$2*$AD$2+'Demand Base Matrix'!D$58*$W$2*$AD$2*$AE$2+'Demand Base Matrix'!D$60+'Demand Base Matrix'!D$61*$AF$2),IF($C64="Explore",('Demand Base Matrix'!D$82*$AC$2*$AD$2*$AE$2*$AF$2+'Demand Base Matrix'!D$83*$W$2*$AC$2*$AD$2*$AE$2*$AF$2+'Demand Base Matrix'!D$84)))))</f>
        <v>15</v>
      </c>
      <c r="AH64">
        <f>IF($C64="Validate",(('Demand Base Matrix'!E$2+'Demand Base Matrix'!E$6)*$AC$2*$AD$2*$AE$2+('Demand Base Matrix'!E$3+'Demand Base Matrix'!E$4)*$W$2*$AD$2+'Demand Base Matrix'!E$5*$W$2*$AD$2*$AE$2+'Demand Base Matrix'!E$7+'Demand Base Matrix'!E$8*$AF$2),IF($C64="Integrate",(('Demand Base Matrix'!E$28+'Demand Base Matrix'!E$32)*$AC$2*$AD$2*$AE$2+('Demand Base Matrix'!E$29+'Demand Base Matrix'!E$30)*$W$2*$AD$2+'Demand Base Matrix'!E$31*$W$2*$AD$2*$AE$2+'Demand Base Matrix'!E$33+'Demand Base Matrix'!E$34*$AF$2),IF($C64="Bond",(('Demand Base Matrix'!E$55+'Demand Base Matrix'!E$59)*$AC$2*$AD$2*$AE$2+('Demand Base Matrix'!E$56+'Demand Base Matrix'!E$57)*$W$2*$AD$2+'Demand Base Matrix'!E$58*$W$2*$AD$2*$AE$2+'Demand Base Matrix'!E$60+'Demand Base Matrix'!E$61*$AF$2),IF($C64="Explore",('Demand Base Matrix'!E$82*$AC$2*$AD$2*$AE$2*$AF$2+'Demand Base Matrix'!E$83*$W$2*$AC$2*$AD$2*$AE$2*$AF$2+'Demand Base Matrix'!E$84)))))</f>
        <v>15</v>
      </c>
      <c r="AI64">
        <f>IF($C64="Validate",(('Demand Base Matrix'!F$2+'Demand Base Matrix'!F$6)*$AC$2*$AD$2*$AE$2+('Demand Base Matrix'!F$3+'Demand Base Matrix'!F$4)*$W$2*$AD$2+'Demand Base Matrix'!F$5*$W$2*$AD$2*$AE$2+'Demand Base Matrix'!F$7+'Demand Base Matrix'!F$8*$AF$2),IF($C64="Integrate",(('Demand Base Matrix'!F$28+'Demand Base Matrix'!F$32)*$AC$2*$AD$2*$AE$2+('Demand Base Matrix'!F$29+'Demand Base Matrix'!F$30)*$W$2*$AD$2+'Demand Base Matrix'!F$31*$W$2*$AD$2*$AE$2+'Demand Base Matrix'!F$33+'Demand Base Matrix'!F$34*$AF$2),IF($C64="Bond",(('Demand Base Matrix'!F$55+'Demand Base Matrix'!F$59)*$AC$2*$AD$2*$AE$2+('Demand Base Matrix'!F$56+'Demand Base Matrix'!F$57)*$W$2*$AD$2+'Demand Base Matrix'!F$58*$W$2*$AD$2*$AE$2+'Demand Base Matrix'!F$60+'Demand Base Matrix'!F$61*$AF$2),IF($C64="Explore",('Demand Base Matrix'!F$82*$AC$2*$AD$2*$AE$2*$AF$2+'Demand Base Matrix'!F$83*$W$2*$AC$2*$AD$2*$AE$2*$AF$2+'Demand Base Matrix'!F$84)))))</f>
        <v>7</v>
      </c>
      <c r="AJ64">
        <f>IF($C64="Validate",(('Demand Base Matrix'!G$2+'Demand Base Matrix'!G$6)*$AC$2*$AD$2*$AE$2+('Demand Base Matrix'!G$3+'Demand Base Matrix'!G$4)*$W$2*$AD$2+'Demand Base Matrix'!G$5*$W$2*$AD$2*$AE$2+'Demand Base Matrix'!G$7+'Demand Base Matrix'!G$8*$AF$2),IF($C64="Integrate",(('Demand Base Matrix'!G$28+'Demand Base Matrix'!G$32)*$AC$2*$AD$2*$AE$2+('Demand Base Matrix'!G$29+'Demand Base Matrix'!G$30)*$W$2*$AD$2+'Demand Base Matrix'!G$31*$W$2*$AD$2*$AE$2+'Demand Base Matrix'!G$33+'Demand Base Matrix'!G$34*$AF$2),IF($C64="Bond",(('Demand Base Matrix'!G$55+'Demand Base Matrix'!G$59)*$AC$2*$AD$2*$AE$2+('Demand Base Matrix'!G$56+'Demand Base Matrix'!G$57)*$W$2*$AD$2+'Demand Base Matrix'!G$58*$W$2*$AD$2*$AE$2+'Demand Base Matrix'!G$60+'Demand Base Matrix'!G$61*$AF$2),IF($C64="Explore",('Demand Base Matrix'!G$82*$AC$2*$AD$2*$AE$2*$AF$2+'Demand Base Matrix'!G$83*$W$2*$AC$2*$AD$2*$AE$2*$AF$2+'Demand Base Matrix'!G$84)))))</f>
        <v>40</v>
      </c>
      <c r="AK64">
        <f>IF($C64="Validate",(('Demand Base Matrix'!H$2+'Demand Base Matrix'!H$6)*$AC$2*$AD$2*$AE$2+('Demand Base Matrix'!H$3+'Demand Base Matrix'!H$4)*$W$2*$AD$2+'Demand Base Matrix'!H$5*$W$2*$AD$2*$AE$2+'Demand Base Matrix'!H$7+'Demand Base Matrix'!H$8*$AF$2),IF($C64="Integrate",(('Demand Base Matrix'!H$28+'Demand Base Matrix'!H$32)*$AC$2*$AD$2*$AE$2+('Demand Base Matrix'!H$29+'Demand Base Matrix'!H$30)*$W$2*$AD$2+'Demand Base Matrix'!H$31*$W$2*$AD$2*$AE$2+'Demand Base Matrix'!H$33+'Demand Base Matrix'!H$34*$AF$2),IF($C64="Bond",(('Demand Base Matrix'!H$55+'Demand Base Matrix'!H$59)*$AC$2*$AD$2*$AE$2+('Demand Base Matrix'!H$56+'Demand Base Matrix'!H$57)*$W$2*$AD$2+'Demand Base Matrix'!H$58*$W$2*$AD$2*$AE$2+'Demand Base Matrix'!H$60+'Demand Base Matrix'!H$61*$AF$2),IF($C64="Explore",('Demand Base Matrix'!H$82*$AC$2*$AD$2*$AE$2*$AF$2+'Demand Base Matrix'!H$83*$W$2*$AC$2*$AD$2*$AE$2*$AF$2+'Demand Base Matrix'!H$84)))))</f>
        <v>60</v>
      </c>
      <c r="AL64">
        <f>IF($C64="Validate",(('Demand Base Matrix'!I$2+'Demand Base Matrix'!I$6)*$AC$2*$AD$2*$AE$2+('Demand Base Matrix'!I$3+'Demand Base Matrix'!I$4)*$W$2*$AD$2+'Demand Base Matrix'!I$5*$W$2*$AD$2*$AE$2+'Demand Base Matrix'!I$7+'Demand Base Matrix'!I$8*$AF$2),IF($C64="Integrate",(('Demand Base Matrix'!I$28+'Demand Base Matrix'!I$32)*$AC$2*$AD$2*$AE$2+('Demand Base Matrix'!I$29+'Demand Base Matrix'!I$30)*$W$2*$AD$2+'Demand Base Matrix'!I$31*$W$2*$AD$2*$AE$2+'Demand Base Matrix'!I$33+'Demand Base Matrix'!I$34*$AF$2),IF($C64="Bond",(('Demand Base Matrix'!I$55+'Demand Base Matrix'!I$59)*$AC$2*$AD$2*$AE$2+('Demand Base Matrix'!I$56+'Demand Base Matrix'!I$57)*$W$2*$AD$2+'Demand Base Matrix'!I$58*$W$2*$AD$2*$AE$2+'Demand Base Matrix'!I$60+'Demand Base Matrix'!I$61*$AF$2),IF($C64="Explore",('Demand Base Matrix'!I$82*$AC$2*$AD$2*$AE$2*$AF$2+'Demand Base Matrix'!I$83*$W$2*$AC$2*$AD$2*$AE$2*$AF$2+'Demand Base Matrix'!I$84)))))</f>
        <v>10</v>
      </c>
      <c r="AM64">
        <f>IF($C64="Validate",(('Demand Base Matrix'!J$2+'Demand Base Matrix'!J$6)*$AC$2*$AD$2*$AE$2+('Demand Base Matrix'!J$3+'Demand Base Matrix'!J$4)*$W$2*$AD$2+'Demand Base Matrix'!J$5*$W$2*$AD$2*$AE$2+'Demand Base Matrix'!J$7+'Demand Base Matrix'!J$8*$AF$2),IF($C64="Integrate",(('Demand Base Matrix'!J$28+'Demand Base Matrix'!J$32)*$AC$2*$AD$2*$AE$2+('Demand Base Matrix'!J$29+'Demand Base Matrix'!J$30)*$W$2*$AD$2+'Demand Base Matrix'!J$31*$W$2*$AD$2*$AE$2+'Demand Base Matrix'!J$33+'Demand Base Matrix'!J$34*$AF$2),IF($C64="Bond",(('Demand Base Matrix'!J$55+'Demand Base Matrix'!J$59)*$AC$2*$AD$2*$AE$2+('Demand Base Matrix'!J$56+'Demand Base Matrix'!J$57)*$W$2*$AD$2+'Demand Base Matrix'!J$58*$W$2*$AD$2*$AE$2+'Demand Base Matrix'!J$60+'Demand Base Matrix'!J$61*$AF$2),IF($C64="Explore",('Demand Base Matrix'!J$82*$AC$2*$AD$2*$AE$2*$AF$2+'Demand Base Matrix'!J$83*$W$2*$AC$2*$AD$2*$AE$2*$AF$2+'Demand Base Matrix'!J$84)))))</f>
        <v>4</v>
      </c>
      <c r="AP64" s="5"/>
      <c r="AQ64" s="5"/>
      <c r="AR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</row>
    <row r="65" spans="1:95" x14ac:dyDescent="0.2">
      <c r="A65" t="s">
        <v>775</v>
      </c>
      <c r="B65" t="s">
        <v>92</v>
      </c>
      <c r="C65" t="s">
        <v>23</v>
      </c>
      <c r="D65" t="s">
        <v>694</v>
      </c>
      <c r="E65" t="s">
        <v>222</v>
      </c>
      <c r="F65" t="s">
        <v>180</v>
      </c>
      <c r="I65" t="str">
        <f>IFERROR(INDEX('Customer 360'!F:F,MATCH(B65,'Customer 360'!A:A,0)),"-")</f>
        <v>D</v>
      </c>
      <c r="J65">
        <v>100</v>
      </c>
      <c r="K65">
        <v>7</v>
      </c>
      <c r="L65" s="4">
        <v>46289</v>
      </c>
      <c r="M65" s="4">
        <v>46289</v>
      </c>
      <c r="N65">
        <v>2026</v>
      </c>
      <c r="O65" s="4">
        <v>46023</v>
      </c>
      <c r="P65" t="s">
        <v>217</v>
      </c>
      <c r="Q65" s="18">
        <f t="shared" ref="Q65:Q89" si="19">O65</f>
        <v>46023</v>
      </c>
      <c r="R65" s="18">
        <f>IFERROR(IF(M65&lt;&gt;"",M65,IF(L65&lt;&gt;"",L65,INDEX('CSM RDD'!B:B,MATCH(B65,'CSM RDD'!A:A,0)))),"-")</f>
        <v>46289</v>
      </c>
      <c r="S65" s="18">
        <f t="shared" si="7"/>
        <v>46023</v>
      </c>
      <c r="T65" s="18">
        <f t="shared" si="8"/>
        <v>46266</v>
      </c>
      <c r="U65" s="6">
        <f t="shared" si="9"/>
        <v>107</v>
      </c>
      <c r="V65" s="18">
        <f t="shared" si="18"/>
        <v>46082</v>
      </c>
      <c r="W65">
        <f>IF(U65=0,1,IF(U65&lt;='Demand Base Matrix'!$K$3,'Demand Base Matrix'!$L$3,IF(U65&lt;='Demand Base Matrix'!$K$4,'Demand Base Matrix'!$L$4,IF(U65&lt;='Demand Base Matrix'!$K$5,'Demand Base Matrix'!$L$5,IF(U65&lt;='Demand Base Matrix'!$K$6,'Demand Base Matrix'!$L$6,IF(U65&lt;='Demand Base Matrix'!$K$7,'Demand Base Matrix'!$L$7))))))</f>
        <v>0.75</v>
      </c>
      <c r="X65" s="4">
        <f t="shared" si="10"/>
        <v>46266</v>
      </c>
      <c r="Y65" t="str">
        <f t="shared" si="11"/>
        <v>Tx</v>
      </c>
      <c r="Z65" t="s">
        <v>685</v>
      </c>
      <c r="AA65" t="s">
        <v>685</v>
      </c>
      <c r="AB65" t="s">
        <v>685</v>
      </c>
      <c r="AC65">
        <f>IFERROR(INDEX('Demand Base Matrix'!AM:AM,MATCH(Y65,'Demand Base Matrix'!AL:AL,0)),"-")</f>
        <v>1.5</v>
      </c>
      <c r="AD65">
        <f>IFERROR(INDEX('Demand Base Matrix'!AO:AO,MATCH(Z65,'Demand Base Matrix'!AN:AN,0)),1)</f>
        <v>1</v>
      </c>
      <c r="AE65">
        <f>IFERROR(INDEX('Demand Base Matrix'!AQ:AQ,MATCH(AA65,'Demand Base Matrix'!AP:AP,0)),1)</f>
        <v>1</v>
      </c>
      <c r="AF65">
        <f>IFERROR(INDEX('Demand Base Matrix'!AS:AS,MATCH(AB65,'Demand Base Matrix'!AR:AR,0)),1)</f>
        <v>1</v>
      </c>
      <c r="AG65">
        <f>IF($C65="Validate",(('Demand Base Matrix'!D$2+'Demand Base Matrix'!D$6)*$AC$2*$AD$2*$AE$2+('Demand Base Matrix'!D$3+'Demand Base Matrix'!D$4)*$W$2*$AD$2+'Demand Base Matrix'!D$5*$W$2*$AD$2*$AE$2+'Demand Base Matrix'!D$7+'Demand Base Matrix'!D$8*$AF$2),IF($C65="Integrate",(('Demand Base Matrix'!D$28+'Demand Base Matrix'!D$32)*$AC$2*$AD$2*$AE$2+('Demand Base Matrix'!D$29+'Demand Base Matrix'!D$30)*$W$2*$AD$2+'Demand Base Matrix'!D$31*$W$2*$AD$2*$AE$2+'Demand Base Matrix'!D$33+'Demand Base Matrix'!D$34*$AF$2),IF($C65="Bond",(('Demand Base Matrix'!D$55+'Demand Base Matrix'!D$59)*$AC$2*$AD$2*$AE$2+('Demand Base Matrix'!D$56+'Demand Base Matrix'!D$57)*$W$2*$AD$2+'Demand Base Matrix'!D$58*$W$2*$AD$2*$AE$2+'Demand Base Matrix'!D$60+'Demand Base Matrix'!D$61*$AF$2),IF($C65="Explore",('Demand Base Matrix'!D$82*$AC$2*$AD$2*$AE$2*$AF$2+'Demand Base Matrix'!D$83*$W$2*$AC$2*$AD$2*$AE$2*$AF$2+'Demand Base Matrix'!D$84)))))</f>
        <v>10</v>
      </c>
      <c r="AH65">
        <f>IF($C65="Validate",(('Demand Base Matrix'!E$2+'Demand Base Matrix'!E$6)*$AC$2*$AD$2*$AE$2+('Demand Base Matrix'!E$3+'Demand Base Matrix'!E$4)*$W$2*$AD$2+'Demand Base Matrix'!E$5*$W$2*$AD$2*$AE$2+'Demand Base Matrix'!E$7+'Demand Base Matrix'!E$8*$AF$2),IF($C65="Integrate",(('Demand Base Matrix'!E$28+'Demand Base Matrix'!E$32)*$AC$2*$AD$2*$AE$2+('Demand Base Matrix'!E$29+'Demand Base Matrix'!E$30)*$W$2*$AD$2+'Demand Base Matrix'!E$31*$W$2*$AD$2*$AE$2+'Demand Base Matrix'!E$33+'Demand Base Matrix'!E$34*$AF$2),IF($C65="Bond",(('Demand Base Matrix'!E$55+'Demand Base Matrix'!E$59)*$AC$2*$AD$2*$AE$2+('Demand Base Matrix'!E$56+'Demand Base Matrix'!E$57)*$W$2*$AD$2+'Demand Base Matrix'!E$58*$W$2*$AD$2*$AE$2+'Demand Base Matrix'!E$60+'Demand Base Matrix'!E$61*$AF$2),IF($C65="Explore",('Demand Base Matrix'!E$82*$AC$2*$AD$2*$AE$2*$AF$2+'Demand Base Matrix'!E$83*$W$2*$AC$2*$AD$2*$AE$2*$AF$2+'Demand Base Matrix'!E$84)))))</f>
        <v>10</v>
      </c>
      <c r="AI65">
        <f>IF($C65="Validate",(('Demand Base Matrix'!F$2+'Demand Base Matrix'!F$6)*$AC$2*$AD$2*$AE$2+('Demand Base Matrix'!F$3+'Demand Base Matrix'!F$4)*$W$2*$AD$2+'Demand Base Matrix'!F$5*$W$2*$AD$2*$AE$2+'Demand Base Matrix'!F$7+'Demand Base Matrix'!F$8*$AF$2),IF($C65="Integrate",(('Demand Base Matrix'!F$28+'Demand Base Matrix'!F$32)*$AC$2*$AD$2*$AE$2+('Demand Base Matrix'!F$29+'Demand Base Matrix'!F$30)*$W$2*$AD$2+'Demand Base Matrix'!F$31*$W$2*$AD$2*$AE$2+'Demand Base Matrix'!F$33+'Demand Base Matrix'!F$34*$AF$2),IF($C65="Bond",(('Demand Base Matrix'!F$55+'Demand Base Matrix'!F$59)*$AC$2*$AD$2*$AE$2+('Demand Base Matrix'!F$56+'Demand Base Matrix'!F$57)*$W$2*$AD$2+'Demand Base Matrix'!F$58*$W$2*$AD$2*$AE$2+'Demand Base Matrix'!F$60+'Demand Base Matrix'!F$61*$AF$2),IF($C65="Explore",('Demand Base Matrix'!F$82*$AC$2*$AD$2*$AE$2*$AF$2+'Demand Base Matrix'!F$83*$W$2*$AC$2*$AD$2*$AE$2*$AF$2+'Demand Base Matrix'!F$84)))))</f>
        <v>10</v>
      </c>
      <c r="AJ65">
        <f>IF($C65="Validate",(('Demand Base Matrix'!G$2+'Demand Base Matrix'!G$6)*$AC$2*$AD$2*$AE$2+('Demand Base Matrix'!G$3+'Demand Base Matrix'!G$4)*$W$2*$AD$2+'Demand Base Matrix'!G$5*$W$2*$AD$2*$AE$2+'Demand Base Matrix'!G$7+'Demand Base Matrix'!G$8*$AF$2),IF($C65="Integrate",(('Demand Base Matrix'!G$28+'Demand Base Matrix'!G$32)*$AC$2*$AD$2*$AE$2+('Demand Base Matrix'!G$29+'Demand Base Matrix'!G$30)*$W$2*$AD$2+'Demand Base Matrix'!G$31*$W$2*$AD$2*$AE$2+'Demand Base Matrix'!G$33+'Demand Base Matrix'!G$34*$AF$2),IF($C65="Bond",(('Demand Base Matrix'!G$55+'Demand Base Matrix'!G$59)*$AC$2*$AD$2*$AE$2+('Demand Base Matrix'!G$56+'Demand Base Matrix'!G$57)*$W$2*$AD$2+'Demand Base Matrix'!G$58*$W$2*$AD$2*$AE$2+'Demand Base Matrix'!G$60+'Demand Base Matrix'!G$61*$AF$2),IF($C65="Explore",('Demand Base Matrix'!G$82*$AC$2*$AD$2*$AE$2*$AF$2+'Demand Base Matrix'!G$83*$W$2*$AC$2*$AD$2*$AE$2*$AF$2+'Demand Base Matrix'!G$84)))))</f>
        <v>50</v>
      </c>
      <c r="AK65">
        <f>IF($C65="Validate",(('Demand Base Matrix'!H$2+'Demand Base Matrix'!H$6)*$AC$2*$AD$2*$AE$2+('Demand Base Matrix'!H$3+'Demand Base Matrix'!H$4)*$W$2*$AD$2+'Demand Base Matrix'!H$5*$W$2*$AD$2*$AE$2+'Demand Base Matrix'!H$7+'Demand Base Matrix'!H$8*$AF$2),IF($C65="Integrate",(('Demand Base Matrix'!H$28+'Demand Base Matrix'!H$32)*$AC$2*$AD$2*$AE$2+('Demand Base Matrix'!H$29+'Demand Base Matrix'!H$30)*$W$2*$AD$2+'Demand Base Matrix'!H$31*$W$2*$AD$2*$AE$2+'Demand Base Matrix'!H$33+'Demand Base Matrix'!H$34*$AF$2),IF($C65="Bond",(('Demand Base Matrix'!H$55+'Demand Base Matrix'!H$59)*$AC$2*$AD$2*$AE$2+('Demand Base Matrix'!H$56+'Demand Base Matrix'!H$57)*$W$2*$AD$2+'Demand Base Matrix'!H$58*$W$2*$AD$2*$AE$2+'Demand Base Matrix'!H$60+'Demand Base Matrix'!H$61*$AF$2),IF($C65="Explore",('Demand Base Matrix'!H$82*$AC$2*$AD$2*$AE$2*$AF$2+'Demand Base Matrix'!H$83*$W$2*$AC$2*$AD$2*$AE$2*$AF$2+'Demand Base Matrix'!H$84)))))</f>
        <v>28</v>
      </c>
      <c r="AL65">
        <f>IF($C65="Validate",(('Demand Base Matrix'!I$2+'Demand Base Matrix'!I$6)*$AC$2*$AD$2*$AE$2+('Demand Base Matrix'!I$3+'Demand Base Matrix'!I$4)*$W$2*$AD$2+'Demand Base Matrix'!I$5*$W$2*$AD$2*$AE$2+'Demand Base Matrix'!I$7+'Demand Base Matrix'!I$8*$AF$2),IF($C65="Integrate",(('Demand Base Matrix'!I$28+'Demand Base Matrix'!I$32)*$AC$2*$AD$2*$AE$2+('Demand Base Matrix'!I$29+'Demand Base Matrix'!I$30)*$W$2*$AD$2+'Demand Base Matrix'!I$31*$W$2*$AD$2*$AE$2+'Demand Base Matrix'!I$33+'Demand Base Matrix'!I$34*$AF$2),IF($C65="Bond",(('Demand Base Matrix'!I$55+'Demand Base Matrix'!I$59)*$AC$2*$AD$2*$AE$2+('Demand Base Matrix'!I$56+'Demand Base Matrix'!I$57)*$W$2*$AD$2+'Demand Base Matrix'!I$58*$W$2*$AD$2*$AE$2+'Demand Base Matrix'!I$60+'Demand Base Matrix'!I$61*$AF$2),IF($C65="Explore",('Demand Base Matrix'!I$82*$AC$2*$AD$2*$AE$2*$AF$2+'Demand Base Matrix'!I$83*$W$2*$AC$2*$AD$2*$AE$2*$AF$2+'Demand Base Matrix'!I$84)))))</f>
        <v>8</v>
      </c>
      <c r="AM65">
        <f>IF($C65="Validate",(('Demand Base Matrix'!J$2+'Demand Base Matrix'!J$6)*$AC$2*$AD$2*$AE$2+('Demand Base Matrix'!J$3+'Demand Base Matrix'!J$4)*$W$2*$AD$2+'Demand Base Matrix'!J$5*$W$2*$AD$2*$AE$2+'Demand Base Matrix'!J$7+'Demand Base Matrix'!J$8*$AF$2),IF($C65="Integrate",(('Demand Base Matrix'!J$28+'Demand Base Matrix'!J$32)*$AC$2*$AD$2*$AE$2+('Demand Base Matrix'!J$29+'Demand Base Matrix'!J$30)*$W$2*$AD$2+'Demand Base Matrix'!J$31*$W$2*$AD$2*$AE$2+'Demand Base Matrix'!J$33+'Demand Base Matrix'!J$34*$AF$2),IF($C65="Bond",(('Demand Base Matrix'!J$55+'Demand Base Matrix'!J$59)*$AC$2*$AD$2*$AE$2+('Demand Base Matrix'!J$56+'Demand Base Matrix'!J$57)*$W$2*$AD$2+'Demand Base Matrix'!J$58*$W$2*$AD$2*$AE$2+'Demand Base Matrix'!J$60+'Demand Base Matrix'!J$61*$AF$2),IF($C65="Explore",('Demand Base Matrix'!J$82*$AC$2*$AD$2*$AE$2*$AF$2+'Demand Base Matrix'!J$83*$W$2*$AC$2*$AD$2*$AE$2*$AF$2+'Demand Base Matrix'!J$84)))))</f>
        <v>8</v>
      </c>
      <c r="AP65" s="5"/>
      <c r="AQ65" s="5"/>
      <c r="AR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</row>
    <row r="66" spans="1:95" x14ac:dyDescent="0.2">
      <c r="A66" t="s">
        <v>776</v>
      </c>
      <c r="B66" t="s">
        <v>199</v>
      </c>
      <c r="C66" t="s">
        <v>23</v>
      </c>
      <c r="D66" t="s">
        <v>53</v>
      </c>
      <c r="E66" t="s">
        <v>699</v>
      </c>
      <c r="F66" t="s">
        <v>93</v>
      </c>
      <c r="I66" t="str">
        <f>IFERROR(INDEX('Customer 360'!F:F,MATCH(B66,'Customer 360'!A:A,0)),"-")</f>
        <v>C</v>
      </c>
      <c r="J66">
        <v>4100</v>
      </c>
      <c r="K66">
        <v>0</v>
      </c>
      <c r="L66" s="4">
        <v>46237</v>
      </c>
      <c r="M66" s="4">
        <v>46237</v>
      </c>
      <c r="N66">
        <v>2026</v>
      </c>
      <c r="O66" s="4">
        <v>46023</v>
      </c>
      <c r="P66" t="s">
        <v>217</v>
      </c>
      <c r="Q66" s="18">
        <f t="shared" si="19"/>
        <v>46023</v>
      </c>
      <c r="R66" s="18">
        <f>IFERROR(IF(M66&lt;&gt;"",M66,IF(L66&lt;&gt;"",L66,INDEX('CSM RDD'!B:B,MATCH(B66,'CSM RDD'!A:A,0)))),"-")</f>
        <v>46237</v>
      </c>
      <c r="S66" s="18">
        <f t="shared" si="7"/>
        <v>46023</v>
      </c>
      <c r="T66" s="18">
        <f t="shared" si="8"/>
        <v>46235</v>
      </c>
      <c r="U66" s="6">
        <f t="shared" si="9"/>
        <v>4100</v>
      </c>
      <c r="V66" s="18">
        <f t="shared" ref="V66:V97" si="20">IF(C66&lt;&gt;"Validate",DATE(2026,3,1),O66)</f>
        <v>46082</v>
      </c>
      <c r="W66">
        <f>IF(U66=0,1,IF(U66&lt;='Demand Base Matrix'!$K$3,'Demand Base Matrix'!$L$3,IF(U66&lt;='Demand Base Matrix'!$K$4,'Demand Base Matrix'!$L$4,IF(U66&lt;='Demand Base Matrix'!$K$5,'Demand Base Matrix'!$L$5,IF(U66&lt;='Demand Base Matrix'!$K$6,'Demand Base Matrix'!$L$6,IF(U66&lt;='Demand Base Matrix'!$K$7,'Demand Base Matrix'!$L$7))))))</f>
        <v>1</v>
      </c>
      <c r="X66" s="4">
        <f t="shared" si="10"/>
        <v>46235</v>
      </c>
      <c r="Y66" t="str">
        <f t="shared" si="11"/>
        <v>Dx</v>
      </c>
      <c r="Z66" t="s">
        <v>685</v>
      </c>
      <c r="AA66" t="s">
        <v>685</v>
      </c>
      <c r="AB66" t="s">
        <v>685</v>
      </c>
      <c r="AC66">
        <f>IFERROR(INDEX('Demand Base Matrix'!AM:AM,MATCH(Y66,'Demand Base Matrix'!AL:AL,0)),"-")</f>
        <v>1</v>
      </c>
      <c r="AD66">
        <f>IFERROR(INDEX('Demand Base Matrix'!AO:AO,MATCH(Z66,'Demand Base Matrix'!AN:AN,0)),1)</f>
        <v>1</v>
      </c>
      <c r="AE66">
        <f>IFERROR(INDEX('Demand Base Matrix'!AQ:AQ,MATCH(AA66,'Demand Base Matrix'!AP:AP,0)),1)</f>
        <v>1</v>
      </c>
      <c r="AF66">
        <f>IFERROR(INDEX('Demand Base Matrix'!AS:AS,MATCH(AB66,'Demand Base Matrix'!AR:AR,0)),1)</f>
        <v>1</v>
      </c>
      <c r="AG66">
        <f>IF($C66="Validate",(('Demand Base Matrix'!D$2+'Demand Base Matrix'!D$6)*$AC$2*$AD$2*$AE$2+('Demand Base Matrix'!D$3+'Demand Base Matrix'!D$4)*$W$2*$AD$2+'Demand Base Matrix'!D$5*$W$2*$AD$2*$AE$2+'Demand Base Matrix'!D$7+'Demand Base Matrix'!D$8*$AF$2),IF($C66="Integrate",(('Demand Base Matrix'!D$28+'Demand Base Matrix'!D$32)*$AC$2*$AD$2*$AE$2+('Demand Base Matrix'!D$29+'Demand Base Matrix'!D$30)*$W$2*$AD$2+'Demand Base Matrix'!D$31*$W$2*$AD$2*$AE$2+'Demand Base Matrix'!D$33+'Demand Base Matrix'!D$34*$AF$2),IF($C66="Bond",(('Demand Base Matrix'!D$55+'Demand Base Matrix'!D$59)*$AC$2*$AD$2*$AE$2+('Demand Base Matrix'!D$56+'Demand Base Matrix'!D$57)*$W$2*$AD$2+'Demand Base Matrix'!D$58*$W$2*$AD$2*$AE$2+'Demand Base Matrix'!D$60+'Demand Base Matrix'!D$61*$AF$2),IF($C66="Explore",('Demand Base Matrix'!D$82*$AC$2*$AD$2*$AE$2*$AF$2+'Demand Base Matrix'!D$83*$W$2*$AC$2*$AD$2*$AE$2*$AF$2+'Demand Base Matrix'!D$84)))))</f>
        <v>10</v>
      </c>
      <c r="AH66">
        <f>IF($C66="Validate",(('Demand Base Matrix'!E$2+'Demand Base Matrix'!E$6)*$AC$2*$AD$2*$AE$2+('Demand Base Matrix'!E$3+'Demand Base Matrix'!E$4)*$W$2*$AD$2+'Demand Base Matrix'!E$5*$W$2*$AD$2*$AE$2+'Demand Base Matrix'!E$7+'Demand Base Matrix'!E$8*$AF$2),IF($C66="Integrate",(('Demand Base Matrix'!E$28+'Demand Base Matrix'!E$32)*$AC$2*$AD$2*$AE$2+('Demand Base Matrix'!E$29+'Demand Base Matrix'!E$30)*$W$2*$AD$2+'Demand Base Matrix'!E$31*$W$2*$AD$2*$AE$2+'Demand Base Matrix'!E$33+'Demand Base Matrix'!E$34*$AF$2),IF($C66="Bond",(('Demand Base Matrix'!E$55+'Demand Base Matrix'!E$59)*$AC$2*$AD$2*$AE$2+('Demand Base Matrix'!E$56+'Demand Base Matrix'!E$57)*$W$2*$AD$2+'Demand Base Matrix'!E$58*$W$2*$AD$2*$AE$2+'Demand Base Matrix'!E$60+'Demand Base Matrix'!E$61*$AF$2),IF($C66="Explore",('Demand Base Matrix'!E$82*$AC$2*$AD$2*$AE$2*$AF$2+'Demand Base Matrix'!E$83*$W$2*$AC$2*$AD$2*$AE$2*$AF$2+'Demand Base Matrix'!E$84)))))</f>
        <v>10</v>
      </c>
      <c r="AI66">
        <f>IF($C66="Validate",(('Demand Base Matrix'!F$2+'Demand Base Matrix'!F$6)*$AC$2*$AD$2*$AE$2+('Demand Base Matrix'!F$3+'Demand Base Matrix'!F$4)*$W$2*$AD$2+'Demand Base Matrix'!F$5*$W$2*$AD$2*$AE$2+'Demand Base Matrix'!F$7+'Demand Base Matrix'!F$8*$AF$2),IF($C66="Integrate",(('Demand Base Matrix'!F$28+'Demand Base Matrix'!F$32)*$AC$2*$AD$2*$AE$2+('Demand Base Matrix'!F$29+'Demand Base Matrix'!F$30)*$W$2*$AD$2+'Demand Base Matrix'!F$31*$W$2*$AD$2*$AE$2+'Demand Base Matrix'!F$33+'Demand Base Matrix'!F$34*$AF$2),IF($C66="Bond",(('Demand Base Matrix'!F$55+'Demand Base Matrix'!F$59)*$AC$2*$AD$2*$AE$2+('Demand Base Matrix'!F$56+'Demand Base Matrix'!F$57)*$W$2*$AD$2+'Demand Base Matrix'!F$58*$W$2*$AD$2*$AE$2+'Demand Base Matrix'!F$60+'Demand Base Matrix'!F$61*$AF$2),IF($C66="Explore",('Demand Base Matrix'!F$82*$AC$2*$AD$2*$AE$2*$AF$2+'Demand Base Matrix'!F$83*$W$2*$AC$2*$AD$2*$AE$2*$AF$2+'Demand Base Matrix'!F$84)))))</f>
        <v>10</v>
      </c>
      <c r="AJ66">
        <f>IF($C66="Validate",(('Demand Base Matrix'!G$2+'Demand Base Matrix'!G$6)*$AC$2*$AD$2*$AE$2+('Demand Base Matrix'!G$3+'Demand Base Matrix'!G$4)*$W$2*$AD$2+'Demand Base Matrix'!G$5*$W$2*$AD$2*$AE$2+'Demand Base Matrix'!G$7+'Demand Base Matrix'!G$8*$AF$2),IF($C66="Integrate",(('Demand Base Matrix'!G$28+'Demand Base Matrix'!G$32)*$AC$2*$AD$2*$AE$2+('Demand Base Matrix'!G$29+'Demand Base Matrix'!G$30)*$W$2*$AD$2+'Demand Base Matrix'!G$31*$W$2*$AD$2*$AE$2+'Demand Base Matrix'!G$33+'Demand Base Matrix'!G$34*$AF$2),IF($C66="Bond",(('Demand Base Matrix'!G$55+'Demand Base Matrix'!G$59)*$AC$2*$AD$2*$AE$2+('Demand Base Matrix'!G$56+'Demand Base Matrix'!G$57)*$W$2*$AD$2+'Demand Base Matrix'!G$58*$W$2*$AD$2*$AE$2+'Demand Base Matrix'!G$60+'Demand Base Matrix'!G$61*$AF$2),IF($C66="Explore",('Demand Base Matrix'!G$82*$AC$2*$AD$2*$AE$2*$AF$2+'Demand Base Matrix'!G$83*$W$2*$AC$2*$AD$2*$AE$2*$AF$2+'Demand Base Matrix'!G$84)))))</f>
        <v>50</v>
      </c>
      <c r="AK66">
        <f>IF($C66="Validate",(('Demand Base Matrix'!H$2+'Demand Base Matrix'!H$6)*$AC$2*$AD$2*$AE$2+('Demand Base Matrix'!H$3+'Demand Base Matrix'!H$4)*$W$2*$AD$2+'Demand Base Matrix'!H$5*$W$2*$AD$2*$AE$2+'Demand Base Matrix'!H$7+'Demand Base Matrix'!H$8*$AF$2),IF($C66="Integrate",(('Demand Base Matrix'!H$28+'Demand Base Matrix'!H$32)*$AC$2*$AD$2*$AE$2+('Demand Base Matrix'!H$29+'Demand Base Matrix'!H$30)*$W$2*$AD$2+'Demand Base Matrix'!H$31*$W$2*$AD$2*$AE$2+'Demand Base Matrix'!H$33+'Demand Base Matrix'!H$34*$AF$2),IF($C66="Bond",(('Demand Base Matrix'!H$55+'Demand Base Matrix'!H$59)*$AC$2*$AD$2*$AE$2+('Demand Base Matrix'!H$56+'Demand Base Matrix'!H$57)*$W$2*$AD$2+'Demand Base Matrix'!H$58*$W$2*$AD$2*$AE$2+'Demand Base Matrix'!H$60+'Demand Base Matrix'!H$61*$AF$2),IF($C66="Explore",('Demand Base Matrix'!H$82*$AC$2*$AD$2*$AE$2*$AF$2+'Demand Base Matrix'!H$83*$W$2*$AC$2*$AD$2*$AE$2*$AF$2+'Demand Base Matrix'!H$84)))))</f>
        <v>28</v>
      </c>
      <c r="AL66">
        <f>IF($C66="Validate",(('Demand Base Matrix'!I$2+'Demand Base Matrix'!I$6)*$AC$2*$AD$2*$AE$2+('Demand Base Matrix'!I$3+'Demand Base Matrix'!I$4)*$W$2*$AD$2+'Demand Base Matrix'!I$5*$W$2*$AD$2*$AE$2+'Demand Base Matrix'!I$7+'Demand Base Matrix'!I$8*$AF$2),IF($C66="Integrate",(('Demand Base Matrix'!I$28+'Demand Base Matrix'!I$32)*$AC$2*$AD$2*$AE$2+('Demand Base Matrix'!I$29+'Demand Base Matrix'!I$30)*$W$2*$AD$2+'Demand Base Matrix'!I$31*$W$2*$AD$2*$AE$2+'Demand Base Matrix'!I$33+'Demand Base Matrix'!I$34*$AF$2),IF($C66="Bond",(('Demand Base Matrix'!I$55+'Demand Base Matrix'!I$59)*$AC$2*$AD$2*$AE$2+('Demand Base Matrix'!I$56+'Demand Base Matrix'!I$57)*$W$2*$AD$2+'Demand Base Matrix'!I$58*$W$2*$AD$2*$AE$2+'Demand Base Matrix'!I$60+'Demand Base Matrix'!I$61*$AF$2),IF($C66="Explore",('Demand Base Matrix'!I$82*$AC$2*$AD$2*$AE$2*$AF$2+'Demand Base Matrix'!I$83*$W$2*$AC$2*$AD$2*$AE$2*$AF$2+'Demand Base Matrix'!I$84)))))</f>
        <v>8</v>
      </c>
      <c r="AM66">
        <f>IF($C66="Validate",(('Demand Base Matrix'!J$2+'Demand Base Matrix'!J$6)*$AC$2*$AD$2*$AE$2+('Demand Base Matrix'!J$3+'Demand Base Matrix'!J$4)*$W$2*$AD$2+'Demand Base Matrix'!J$5*$W$2*$AD$2*$AE$2+'Demand Base Matrix'!J$7+'Demand Base Matrix'!J$8*$AF$2),IF($C66="Integrate",(('Demand Base Matrix'!J$28+'Demand Base Matrix'!J$32)*$AC$2*$AD$2*$AE$2+('Demand Base Matrix'!J$29+'Demand Base Matrix'!J$30)*$W$2*$AD$2+'Demand Base Matrix'!J$31*$W$2*$AD$2*$AE$2+'Demand Base Matrix'!J$33+'Demand Base Matrix'!J$34*$AF$2),IF($C66="Bond",(('Demand Base Matrix'!J$55+'Demand Base Matrix'!J$59)*$AC$2*$AD$2*$AE$2+('Demand Base Matrix'!J$56+'Demand Base Matrix'!J$57)*$W$2*$AD$2+'Demand Base Matrix'!J$58*$W$2*$AD$2*$AE$2+'Demand Base Matrix'!J$60+'Demand Base Matrix'!J$61*$AF$2),IF($C66="Explore",('Demand Base Matrix'!J$82*$AC$2*$AD$2*$AE$2*$AF$2+'Demand Base Matrix'!J$83*$W$2*$AC$2*$AD$2*$AE$2*$AF$2+'Demand Base Matrix'!J$84)))))</f>
        <v>8</v>
      </c>
      <c r="AP66" s="5"/>
      <c r="AQ66" s="5"/>
      <c r="AR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</row>
    <row r="67" spans="1:95" x14ac:dyDescent="0.2">
      <c r="A67" t="s">
        <v>777</v>
      </c>
      <c r="B67" t="s">
        <v>200</v>
      </c>
      <c r="C67" t="s">
        <v>20</v>
      </c>
      <c r="D67" t="s">
        <v>36</v>
      </c>
      <c r="E67" t="s">
        <v>116</v>
      </c>
      <c r="F67" t="s">
        <v>51</v>
      </c>
      <c r="I67" t="str">
        <f>IFERROR(INDEX('Customer 360'!F:F,MATCH(B67,'Customer 360'!A:A,0)),"-")</f>
        <v>C</v>
      </c>
      <c r="J67">
        <v>264</v>
      </c>
      <c r="K67">
        <v>46</v>
      </c>
      <c r="L67" s="4">
        <v>46276</v>
      </c>
      <c r="M67" s="4">
        <v>46276</v>
      </c>
      <c r="N67">
        <v>2026</v>
      </c>
      <c r="O67" s="4">
        <v>45901</v>
      </c>
      <c r="P67" t="s">
        <v>217</v>
      </c>
      <c r="Q67" s="18">
        <f t="shared" si="19"/>
        <v>45901</v>
      </c>
      <c r="R67" s="18">
        <f>IFERROR(IF(M67&lt;&gt;"",M67,IF(L67&lt;&gt;"",L67,INDEX('CSM RDD'!B:B,MATCH(B67,'CSM RDD'!A:A,0)))),"-")</f>
        <v>46276</v>
      </c>
      <c r="S67" s="18">
        <f t="shared" si="7"/>
        <v>45901</v>
      </c>
      <c r="T67" s="18">
        <f t="shared" si="8"/>
        <v>46266</v>
      </c>
      <c r="U67" s="6">
        <f t="shared" si="9"/>
        <v>310</v>
      </c>
      <c r="V67" s="18">
        <f t="shared" si="20"/>
        <v>45901</v>
      </c>
      <c r="W67">
        <f>IF(U67=0,1,IF(U67&lt;='Demand Base Matrix'!$K$3,'Demand Base Matrix'!$L$3,IF(U67&lt;='Demand Base Matrix'!$K$4,'Demand Base Matrix'!$L$4,IF(U67&lt;='Demand Base Matrix'!$K$5,'Demand Base Matrix'!$L$5,IF(U67&lt;='Demand Base Matrix'!$K$6,'Demand Base Matrix'!$L$6,IF(U67&lt;='Demand Base Matrix'!$K$7,'Demand Base Matrix'!$L$7))))))</f>
        <v>0.75</v>
      </c>
      <c r="X67" s="4">
        <f t="shared" si="10"/>
        <v>46266</v>
      </c>
      <c r="Y67" t="str">
        <f t="shared" si="11"/>
        <v>Tx</v>
      </c>
      <c r="Z67" t="s">
        <v>685</v>
      </c>
      <c r="AA67" t="s">
        <v>685</v>
      </c>
      <c r="AB67" t="s">
        <v>685</v>
      </c>
      <c r="AC67">
        <f>IFERROR(INDEX('Demand Base Matrix'!AM:AM,MATCH(Y67,'Demand Base Matrix'!AL:AL,0)),"-")</f>
        <v>1.5</v>
      </c>
      <c r="AD67">
        <f>IFERROR(INDEX('Demand Base Matrix'!AO:AO,MATCH(Z67,'Demand Base Matrix'!AN:AN,0)),1)</f>
        <v>1</v>
      </c>
      <c r="AE67">
        <f>IFERROR(INDEX('Demand Base Matrix'!AQ:AQ,MATCH(AA67,'Demand Base Matrix'!AP:AP,0)),1)</f>
        <v>1</v>
      </c>
      <c r="AF67">
        <f>IFERROR(INDEX('Demand Base Matrix'!AS:AS,MATCH(AB67,'Demand Base Matrix'!AR:AR,0)),1)</f>
        <v>1</v>
      </c>
      <c r="AG67">
        <f>IF($C67="Validate",(('Demand Base Matrix'!D$2+'Demand Base Matrix'!D$6)*$AC$2*$AD$2*$AE$2+('Demand Base Matrix'!D$3+'Demand Base Matrix'!D$4)*$W$2*$AD$2+'Demand Base Matrix'!D$5*$W$2*$AD$2*$AE$2+'Demand Base Matrix'!D$7+'Demand Base Matrix'!D$8*$AF$2),IF($C67="Integrate",(('Demand Base Matrix'!D$28+'Demand Base Matrix'!D$32)*$AC$2*$AD$2*$AE$2+('Demand Base Matrix'!D$29+'Demand Base Matrix'!D$30)*$W$2*$AD$2+'Demand Base Matrix'!D$31*$W$2*$AD$2*$AE$2+'Demand Base Matrix'!D$33+'Demand Base Matrix'!D$34*$AF$2),IF($C67="Bond",(('Demand Base Matrix'!D$55+'Demand Base Matrix'!D$59)*$AC$2*$AD$2*$AE$2+('Demand Base Matrix'!D$56+'Demand Base Matrix'!D$57)*$W$2*$AD$2+'Demand Base Matrix'!D$58*$W$2*$AD$2*$AE$2+'Demand Base Matrix'!D$60+'Demand Base Matrix'!D$61*$AF$2),IF($C67="Explore",('Demand Base Matrix'!D$82*$AC$2*$AD$2*$AE$2*$AF$2+'Demand Base Matrix'!D$83*$W$2*$AC$2*$AD$2*$AE$2*$AF$2+'Demand Base Matrix'!D$84)))))</f>
        <v>15</v>
      </c>
      <c r="AH67">
        <f>IF($C67="Validate",(('Demand Base Matrix'!E$2+'Demand Base Matrix'!E$6)*$AC$2*$AD$2*$AE$2+('Demand Base Matrix'!E$3+'Demand Base Matrix'!E$4)*$W$2*$AD$2+'Demand Base Matrix'!E$5*$W$2*$AD$2*$AE$2+'Demand Base Matrix'!E$7+'Demand Base Matrix'!E$8*$AF$2),IF($C67="Integrate",(('Demand Base Matrix'!E$28+'Demand Base Matrix'!E$32)*$AC$2*$AD$2*$AE$2+('Demand Base Matrix'!E$29+'Demand Base Matrix'!E$30)*$W$2*$AD$2+'Demand Base Matrix'!E$31*$W$2*$AD$2*$AE$2+'Demand Base Matrix'!E$33+'Demand Base Matrix'!E$34*$AF$2),IF($C67="Bond",(('Demand Base Matrix'!E$55+'Demand Base Matrix'!E$59)*$AC$2*$AD$2*$AE$2+('Demand Base Matrix'!E$56+'Demand Base Matrix'!E$57)*$W$2*$AD$2+'Demand Base Matrix'!E$58*$W$2*$AD$2*$AE$2+'Demand Base Matrix'!E$60+'Demand Base Matrix'!E$61*$AF$2),IF($C67="Explore",('Demand Base Matrix'!E$82*$AC$2*$AD$2*$AE$2*$AF$2+'Demand Base Matrix'!E$83*$W$2*$AC$2*$AD$2*$AE$2*$AF$2+'Demand Base Matrix'!E$84)))))</f>
        <v>15</v>
      </c>
      <c r="AI67">
        <f>IF($C67="Validate",(('Demand Base Matrix'!F$2+'Demand Base Matrix'!F$6)*$AC$2*$AD$2*$AE$2+('Demand Base Matrix'!F$3+'Demand Base Matrix'!F$4)*$W$2*$AD$2+'Demand Base Matrix'!F$5*$W$2*$AD$2*$AE$2+'Demand Base Matrix'!F$7+'Demand Base Matrix'!F$8*$AF$2),IF($C67="Integrate",(('Demand Base Matrix'!F$28+'Demand Base Matrix'!F$32)*$AC$2*$AD$2*$AE$2+('Demand Base Matrix'!F$29+'Demand Base Matrix'!F$30)*$W$2*$AD$2+'Demand Base Matrix'!F$31*$W$2*$AD$2*$AE$2+'Demand Base Matrix'!F$33+'Demand Base Matrix'!F$34*$AF$2),IF($C67="Bond",(('Demand Base Matrix'!F$55+'Demand Base Matrix'!F$59)*$AC$2*$AD$2*$AE$2+('Demand Base Matrix'!F$56+'Demand Base Matrix'!F$57)*$W$2*$AD$2+'Demand Base Matrix'!F$58*$W$2*$AD$2*$AE$2+'Demand Base Matrix'!F$60+'Demand Base Matrix'!F$61*$AF$2),IF($C67="Explore",('Demand Base Matrix'!F$82*$AC$2*$AD$2*$AE$2*$AF$2+'Demand Base Matrix'!F$83*$W$2*$AC$2*$AD$2*$AE$2*$AF$2+'Demand Base Matrix'!F$84)))))</f>
        <v>7</v>
      </c>
      <c r="AJ67">
        <f>IF($C67="Validate",(('Demand Base Matrix'!G$2+'Demand Base Matrix'!G$6)*$AC$2*$AD$2*$AE$2+('Demand Base Matrix'!G$3+'Demand Base Matrix'!G$4)*$W$2*$AD$2+'Demand Base Matrix'!G$5*$W$2*$AD$2*$AE$2+'Demand Base Matrix'!G$7+'Demand Base Matrix'!G$8*$AF$2),IF($C67="Integrate",(('Demand Base Matrix'!G$28+'Demand Base Matrix'!G$32)*$AC$2*$AD$2*$AE$2+('Demand Base Matrix'!G$29+'Demand Base Matrix'!G$30)*$W$2*$AD$2+'Demand Base Matrix'!G$31*$W$2*$AD$2*$AE$2+'Demand Base Matrix'!G$33+'Demand Base Matrix'!G$34*$AF$2),IF($C67="Bond",(('Demand Base Matrix'!G$55+'Demand Base Matrix'!G$59)*$AC$2*$AD$2*$AE$2+('Demand Base Matrix'!G$56+'Demand Base Matrix'!G$57)*$W$2*$AD$2+'Demand Base Matrix'!G$58*$W$2*$AD$2*$AE$2+'Demand Base Matrix'!G$60+'Demand Base Matrix'!G$61*$AF$2),IF($C67="Explore",('Demand Base Matrix'!G$82*$AC$2*$AD$2*$AE$2*$AF$2+'Demand Base Matrix'!G$83*$W$2*$AC$2*$AD$2*$AE$2*$AF$2+'Demand Base Matrix'!G$84)))))</f>
        <v>40</v>
      </c>
      <c r="AK67">
        <f>IF($C67="Validate",(('Demand Base Matrix'!H$2+'Demand Base Matrix'!H$6)*$AC$2*$AD$2*$AE$2+('Demand Base Matrix'!H$3+'Demand Base Matrix'!H$4)*$W$2*$AD$2+'Demand Base Matrix'!H$5*$W$2*$AD$2*$AE$2+'Demand Base Matrix'!H$7+'Demand Base Matrix'!H$8*$AF$2),IF($C67="Integrate",(('Demand Base Matrix'!H$28+'Demand Base Matrix'!H$32)*$AC$2*$AD$2*$AE$2+('Demand Base Matrix'!H$29+'Demand Base Matrix'!H$30)*$W$2*$AD$2+'Demand Base Matrix'!H$31*$W$2*$AD$2*$AE$2+'Demand Base Matrix'!H$33+'Demand Base Matrix'!H$34*$AF$2),IF($C67="Bond",(('Demand Base Matrix'!H$55+'Demand Base Matrix'!H$59)*$AC$2*$AD$2*$AE$2+('Demand Base Matrix'!H$56+'Demand Base Matrix'!H$57)*$W$2*$AD$2+'Demand Base Matrix'!H$58*$W$2*$AD$2*$AE$2+'Demand Base Matrix'!H$60+'Demand Base Matrix'!H$61*$AF$2),IF($C67="Explore",('Demand Base Matrix'!H$82*$AC$2*$AD$2*$AE$2*$AF$2+'Demand Base Matrix'!H$83*$W$2*$AC$2*$AD$2*$AE$2*$AF$2+'Demand Base Matrix'!H$84)))))</f>
        <v>60</v>
      </c>
      <c r="AL67">
        <f>IF($C67="Validate",(('Demand Base Matrix'!I$2+'Demand Base Matrix'!I$6)*$AC$2*$AD$2*$AE$2+('Demand Base Matrix'!I$3+'Demand Base Matrix'!I$4)*$W$2*$AD$2+'Demand Base Matrix'!I$5*$W$2*$AD$2*$AE$2+'Demand Base Matrix'!I$7+'Demand Base Matrix'!I$8*$AF$2),IF($C67="Integrate",(('Demand Base Matrix'!I$28+'Demand Base Matrix'!I$32)*$AC$2*$AD$2*$AE$2+('Demand Base Matrix'!I$29+'Demand Base Matrix'!I$30)*$W$2*$AD$2+'Demand Base Matrix'!I$31*$W$2*$AD$2*$AE$2+'Demand Base Matrix'!I$33+'Demand Base Matrix'!I$34*$AF$2),IF($C67="Bond",(('Demand Base Matrix'!I$55+'Demand Base Matrix'!I$59)*$AC$2*$AD$2*$AE$2+('Demand Base Matrix'!I$56+'Demand Base Matrix'!I$57)*$W$2*$AD$2+'Demand Base Matrix'!I$58*$W$2*$AD$2*$AE$2+'Demand Base Matrix'!I$60+'Demand Base Matrix'!I$61*$AF$2),IF($C67="Explore",('Demand Base Matrix'!I$82*$AC$2*$AD$2*$AE$2*$AF$2+'Demand Base Matrix'!I$83*$W$2*$AC$2*$AD$2*$AE$2*$AF$2+'Demand Base Matrix'!I$84)))))</f>
        <v>10</v>
      </c>
      <c r="AM67">
        <f>IF($C67="Validate",(('Demand Base Matrix'!J$2+'Demand Base Matrix'!J$6)*$AC$2*$AD$2*$AE$2+('Demand Base Matrix'!J$3+'Demand Base Matrix'!J$4)*$W$2*$AD$2+'Demand Base Matrix'!J$5*$W$2*$AD$2*$AE$2+'Demand Base Matrix'!J$7+'Demand Base Matrix'!J$8*$AF$2),IF($C67="Integrate",(('Demand Base Matrix'!J$28+'Demand Base Matrix'!J$32)*$AC$2*$AD$2*$AE$2+('Demand Base Matrix'!J$29+'Demand Base Matrix'!J$30)*$W$2*$AD$2+'Demand Base Matrix'!J$31*$W$2*$AD$2*$AE$2+'Demand Base Matrix'!J$33+'Demand Base Matrix'!J$34*$AF$2),IF($C67="Bond",(('Demand Base Matrix'!J$55+'Demand Base Matrix'!J$59)*$AC$2*$AD$2*$AE$2+('Demand Base Matrix'!J$56+'Demand Base Matrix'!J$57)*$W$2*$AD$2+'Demand Base Matrix'!J$58*$W$2*$AD$2*$AE$2+'Demand Base Matrix'!J$60+'Demand Base Matrix'!J$61*$AF$2),IF($C67="Explore",('Demand Base Matrix'!J$82*$AC$2*$AD$2*$AE$2*$AF$2+'Demand Base Matrix'!J$83*$W$2*$AC$2*$AD$2*$AE$2*$AF$2+'Demand Base Matrix'!J$84)))))</f>
        <v>4</v>
      </c>
      <c r="AP67" s="5"/>
      <c r="AQ67" s="5"/>
      <c r="AR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</row>
    <row r="68" spans="1:95" x14ac:dyDescent="0.2">
      <c r="A68" t="s">
        <v>778</v>
      </c>
      <c r="B68" t="s">
        <v>94</v>
      </c>
      <c r="C68" t="s">
        <v>32</v>
      </c>
      <c r="D68" t="s">
        <v>60</v>
      </c>
      <c r="E68" t="s">
        <v>207</v>
      </c>
      <c r="F68" t="s">
        <v>185</v>
      </c>
      <c r="I68" t="str">
        <f>IFERROR(INDEX('Customer 360'!F:F,MATCH(B68,'Customer 360'!A:A,0)),"-")</f>
        <v>A</v>
      </c>
      <c r="J68">
        <v>13000</v>
      </c>
      <c r="K68"/>
      <c r="L68" s="4">
        <v>46412</v>
      </c>
      <c r="M68" s="4">
        <v>46412</v>
      </c>
      <c r="N68">
        <v>2026</v>
      </c>
      <c r="O68" s="4">
        <v>45901</v>
      </c>
      <c r="P68" t="s">
        <v>217</v>
      </c>
      <c r="Q68" s="18">
        <f t="shared" si="19"/>
        <v>45901</v>
      </c>
      <c r="R68" s="18">
        <f>IFERROR(IF(M68&lt;&gt;"",M68,IF(L68&lt;&gt;"",L68,INDEX('CSM RDD'!B:B,MATCH(B68,'CSM RDD'!A:A,0)))),"-")</f>
        <v>46412</v>
      </c>
      <c r="S68" s="18">
        <f t="shared" si="7"/>
        <v>45901</v>
      </c>
      <c r="T68" s="18">
        <f t="shared" si="8"/>
        <v>46388</v>
      </c>
      <c r="U68" s="6">
        <f t="shared" si="9"/>
        <v>13000</v>
      </c>
      <c r="V68" s="18">
        <f t="shared" si="20"/>
        <v>46082</v>
      </c>
      <c r="W68">
        <f>IF(U68=0,1,IF(U68&lt;='Demand Base Matrix'!$K$3,'Demand Base Matrix'!$L$3,IF(U68&lt;='Demand Base Matrix'!$K$4,'Demand Base Matrix'!$L$4,IF(U68&lt;='Demand Base Matrix'!$K$5,'Demand Base Matrix'!$L$5,IF(U68&lt;='Demand Base Matrix'!$K$6,'Demand Base Matrix'!$L$6,IF(U68&lt;='Demand Base Matrix'!$K$7,'Demand Base Matrix'!$L$7))))))</f>
        <v>1.5</v>
      </c>
      <c r="X68" s="4">
        <f t="shared" si="10"/>
        <v>46388</v>
      </c>
      <c r="Y68" t="str">
        <f t="shared" si="11"/>
        <v>Dx</v>
      </c>
      <c r="Z68" t="s">
        <v>685</v>
      </c>
      <c r="AA68" t="s">
        <v>685</v>
      </c>
      <c r="AB68" t="s">
        <v>684</v>
      </c>
      <c r="AC68">
        <f>IFERROR(INDEX('Demand Base Matrix'!AM:AM,MATCH(Y68,'Demand Base Matrix'!AL:AL,0)),"-")</f>
        <v>1</v>
      </c>
      <c r="AD68">
        <f>IFERROR(INDEX('Demand Base Matrix'!AO:AO,MATCH(Z68,'Demand Base Matrix'!AN:AN,0)),1)</f>
        <v>1</v>
      </c>
      <c r="AE68">
        <f>IFERROR(INDEX('Demand Base Matrix'!AQ:AQ,MATCH(AA68,'Demand Base Matrix'!AP:AP,0)),1)</f>
        <v>1</v>
      </c>
      <c r="AF68">
        <f>IFERROR(INDEX('Demand Base Matrix'!AS:AS,MATCH(AB68,'Demand Base Matrix'!AR:AR,0)),1)</f>
        <v>1.5</v>
      </c>
      <c r="AG68">
        <f>IF($C68="Validate",(('Demand Base Matrix'!D$2+'Demand Base Matrix'!D$6)*$AC$2*$AD$2*$AE$2+('Demand Base Matrix'!D$3+'Demand Base Matrix'!D$4)*$W$2*$AD$2+'Demand Base Matrix'!D$5*$W$2*$AD$2*$AE$2+'Demand Base Matrix'!D$7+'Demand Base Matrix'!D$8*$AF$2),IF($C68="Integrate",(('Demand Base Matrix'!D$28+'Demand Base Matrix'!D$32)*$AC$2*$AD$2*$AE$2+('Demand Base Matrix'!D$29+'Demand Base Matrix'!D$30)*$W$2*$AD$2+'Demand Base Matrix'!D$31*$W$2*$AD$2*$AE$2+'Demand Base Matrix'!D$33+'Demand Base Matrix'!D$34*$AF$2),IF($C68="Bond",(('Demand Base Matrix'!D$55+'Demand Base Matrix'!D$59)*$AC$2*$AD$2*$AE$2+('Demand Base Matrix'!D$56+'Demand Base Matrix'!D$57)*$W$2*$AD$2+'Demand Base Matrix'!D$58*$W$2*$AD$2*$AE$2+'Demand Base Matrix'!D$60+'Demand Base Matrix'!D$61*$AF$2),IF($C68="Explore",('Demand Base Matrix'!D$82*$AC$2*$AD$2*$AE$2*$AF$2+'Demand Base Matrix'!D$83*$W$2*$AC$2*$AD$2*$AE$2*$AF$2+'Demand Base Matrix'!D$84)))))</f>
        <v>10</v>
      </c>
      <c r="AH68">
        <f>IF($C68="Validate",(('Demand Base Matrix'!E$2+'Demand Base Matrix'!E$6)*$AC$2*$AD$2*$AE$2+('Demand Base Matrix'!E$3+'Demand Base Matrix'!E$4)*$W$2*$AD$2+'Demand Base Matrix'!E$5*$W$2*$AD$2*$AE$2+'Demand Base Matrix'!E$7+'Demand Base Matrix'!E$8*$AF$2),IF($C68="Integrate",(('Demand Base Matrix'!E$28+'Demand Base Matrix'!E$32)*$AC$2*$AD$2*$AE$2+('Demand Base Matrix'!E$29+'Demand Base Matrix'!E$30)*$W$2*$AD$2+'Demand Base Matrix'!E$31*$W$2*$AD$2*$AE$2+'Demand Base Matrix'!E$33+'Demand Base Matrix'!E$34*$AF$2),IF($C68="Bond",(('Demand Base Matrix'!E$55+'Demand Base Matrix'!E$59)*$AC$2*$AD$2*$AE$2+('Demand Base Matrix'!E$56+'Demand Base Matrix'!E$57)*$W$2*$AD$2+'Demand Base Matrix'!E$58*$W$2*$AD$2*$AE$2+'Demand Base Matrix'!E$60+'Demand Base Matrix'!E$61*$AF$2),IF($C68="Explore",('Demand Base Matrix'!E$82*$AC$2*$AD$2*$AE$2*$AF$2+'Demand Base Matrix'!E$83*$W$2*$AC$2*$AD$2*$AE$2*$AF$2+'Demand Base Matrix'!E$84)))))</f>
        <v>20</v>
      </c>
      <c r="AI68">
        <f>IF($C68="Validate",(('Demand Base Matrix'!F$2+'Demand Base Matrix'!F$6)*$AC$2*$AD$2*$AE$2+('Demand Base Matrix'!F$3+'Demand Base Matrix'!F$4)*$W$2*$AD$2+'Demand Base Matrix'!F$5*$W$2*$AD$2*$AE$2+'Demand Base Matrix'!F$7+'Demand Base Matrix'!F$8*$AF$2),IF($C68="Integrate",(('Demand Base Matrix'!F$28+'Demand Base Matrix'!F$32)*$AC$2*$AD$2*$AE$2+('Demand Base Matrix'!F$29+'Demand Base Matrix'!F$30)*$W$2*$AD$2+'Demand Base Matrix'!F$31*$W$2*$AD$2*$AE$2+'Demand Base Matrix'!F$33+'Demand Base Matrix'!F$34*$AF$2),IF($C68="Bond",(('Demand Base Matrix'!F$55+'Demand Base Matrix'!F$59)*$AC$2*$AD$2*$AE$2+('Demand Base Matrix'!F$56+'Demand Base Matrix'!F$57)*$W$2*$AD$2+'Demand Base Matrix'!F$58*$W$2*$AD$2*$AE$2+'Demand Base Matrix'!F$60+'Demand Base Matrix'!F$61*$AF$2),IF($C68="Explore",('Demand Base Matrix'!F$82*$AC$2*$AD$2*$AE$2*$AF$2+'Demand Base Matrix'!F$83*$W$2*$AC$2*$AD$2*$AE$2*$AF$2+'Demand Base Matrix'!F$84)))))</f>
        <v>10</v>
      </c>
      <c r="AJ68">
        <f>IF($C68="Validate",(('Demand Base Matrix'!G$2+'Demand Base Matrix'!G$6)*$AC$2*$AD$2*$AE$2+('Demand Base Matrix'!G$3+'Demand Base Matrix'!G$4)*$W$2*$AD$2+'Demand Base Matrix'!G$5*$W$2*$AD$2*$AE$2+'Demand Base Matrix'!G$7+'Demand Base Matrix'!G$8*$AF$2),IF($C68="Integrate",(('Demand Base Matrix'!G$28+'Demand Base Matrix'!G$32)*$AC$2*$AD$2*$AE$2+('Demand Base Matrix'!G$29+'Demand Base Matrix'!G$30)*$W$2*$AD$2+'Demand Base Matrix'!G$31*$W$2*$AD$2*$AE$2+'Demand Base Matrix'!G$33+'Demand Base Matrix'!G$34*$AF$2),IF($C68="Bond",(('Demand Base Matrix'!G$55+'Demand Base Matrix'!G$59)*$AC$2*$AD$2*$AE$2+('Demand Base Matrix'!G$56+'Demand Base Matrix'!G$57)*$W$2*$AD$2+'Demand Base Matrix'!G$58*$W$2*$AD$2*$AE$2+'Demand Base Matrix'!G$60+'Demand Base Matrix'!G$61*$AF$2),IF($C68="Explore",('Demand Base Matrix'!G$82*$AC$2*$AD$2*$AE$2*$AF$2+'Demand Base Matrix'!G$83*$W$2*$AC$2*$AD$2*$AE$2*$AF$2+'Demand Base Matrix'!G$84)))))</f>
        <v>60</v>
      </c>
      <c r="AK68">
        <f>IF($C68="Validate",(('Demand Base Matrix'!H$2+'Demand Base Matrix'!H$6)*$AC$2*$AD$2*$AE$2+('Demand Base Matrix'!H$3+'Demand Base Matrix'!H$4)*$W$2*$AD$2+'Demand Base Matrix'!H$5*$W$2*$AD$2*$AE$2+'Demand Base Matrix'!H$7+'Demand Base Matrix'!H$8*$AF$2),IF($C68="Integrate",(('Demand Base Matrix'!H$28+'Demand Base Matrix'!H$32)*$AC$2*$AD$2*$AE$2+('Demand Base Matrix'!H$29+'Demand Base Matrix'!H$30)*$W$2*$AD$2+'Demand Base Matrix'!H$31*$W$2*$AD$2*$AE$2+'Demand Base Matrix'!H$33+'Demand Base Matrix'!H$34*$AF$2),IF($C68="Bond",(('Demand Base Matrix'!H$55+'Demand Base Matrix'!H$59)*$AC$2*$AD$2*$AE$2+('Demand Base Matrix'!H$56+'Demand Base Matrix'!H$57)*$W$2*$AD$2+'Demand Base Matrix'!H$58*$W$2*$AD$2*$AE$2+'Demand Base Matrix'!H$60+'Demand Base Matrix'!H$61*$AF$2),IF($C68="Explore",('Demand Base Matrix'!H$82*$AC$2*$AD$2*$AE$2*$AF$2+'Demand Base Matrix'!H$83*$W$2*$AC$2*$AD$2*$AE$2*$AF$2+'Demand Base Matrix'!H$84)))))</f>
        <v>28</v>
      </c>
      <c r="AL68">
        <f>IF($C68="Validate",(('Demand Base Matrix'!I$2+'Demand Base Matrix'!I$6)*$AC$2*$AD$2*$AE$2+('Demand Base Matrix'!I$3+'Demand Base Matrix'!I$4)*$W$2*$AD$2+'Demand Base Matrix'!I$5*$W$2*$AD$2*$AE$2+'Demand Base Matrix'!I$7+'Demand Base Matrix'!I$8*$AF$2),IF($C68="Integrate",(('Demand Base Matrix'!I$28+'Demand Base Matrix'!I$32)*$AC$2*$AD$2*$AE$2+('Demand Base Matrix'!I$29+'Demand Base Matrix'!I$30)*$W$2*$AD$2+'Demand Base Matrix'!I$31*$W$2*$AD$2*$AE$2+'Demand Base Matrix'!I$33+'Demand Base Matrix'!I$34*$AF$2),IF($C68="Bond",(('Demand Base Matrix'!I$55+'Demand Base Matrix'!I$59)*$AC$2*$AD$2*$AE$2+('Demand Base Matrix'!I$56+'Demand Base Matrix'!I$57)*$W$2*$AD$2+'Demand Base Matrix'!I$58*$W$2*$AD$2*$AE$2+'Demand Base Matrix'!I$60+'Demand Base Matrix'!I$61*$AF$2),IF($C68="Explore",('Demand Base Matrix'!I$82*$AC$2*$AD$2*$AE$2*$AF$2+'Demand Base Matrix'!I$83*$W$2*$AC$2*$AD$2*$AE$2*$AF$2+'Demand Base Matrix'!I$84)))))</f>
        <v>8</v>
      </c>
      <c r="AM68">
        <f>IF($C68="Validate",(('Demand Base Matrix'!J$2+'Demand Base Matrix'!J$6)*$AC$2*$AD$2*$AE$2+('Demand Base Matrix'!J$3+'Demand Base Matrix'!J$4)*$W$2*$AD$2+'Demand Base Matrix'!J$5*$W$2*$AD$2*$AE$2+'Demand Base Matrix'!J$7+'Demand Base Matrix'!J$8*$AF$2),IF($C68="Integrate",(('Demand Base Matrix'!J$28+'Demand Base Matrix'!J$32)*$AC$2*$AD$2*$AE$2+('Demand Base Matrix'!J$29+'Demand Base Matrix'!J$30)*$W$2*$AD$2+'Demand Base Matrix'!J$31*$W$2*$AD$2*$AE$2+'Demand Base Matrix'!J$33+'Demand Base Matrix'!J$34*$AF$2),IF($C68="Bond",(('Demand Base Matrix'!J$55+'Demand Base Matrix'!J$59)*$AC$2*$AD$2*$AE$2+('Demand Base Matrix'!J$56+'Demand Base Matrix'!J$57)*$W$2*$AD$2+'Demand Base Matrix'!J$58*$W$2*$AD$2*$AE$2+'Demand Base Matrix'!J$60+'Demand Base Matrix'!J$61*$AF$2),IF($C68="Explore",('Demand Base Matrix'!J$82*$AC$2*$AD$2*$AE$2*$AF$2+'Demand Base Matrix'!J$83*$W$2*$AC$2*$AD$2*$AE$2*$AF$2+'Demand Base Matrix'!J$84)))))</f>
        <v>8</v>
      </c>
      <c r="AP68" s="5"/>
      <c r="AQ68" s="5"/>
      <c r="AR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</row>
    <row r="69" spans="1:95" x14ac:dyDescent="0.2">
      <c r="A69" t="s">
        <v>779</v>
      </c>
      <c r="B69" t="s">
        <v>96</v>
      </c>
      <c r="C69" t="s">
        <v>23</v>
      </c>
      <c r="D69" t="s">
        <v>694</v>
      </c>
      <c r="E69" t="s">
        <v>118</v>
      </c>
      <c r="F69" t="s">
        <v>800</v>
      </c>
      <c r="I69" t="str">
        <f>IFERROR(INDEX('Customer 360'!F:F,MATCH(B69,'Customer 360'!A:A,0)),"-")</f>
        <v>B</v>
      </c>
      <c r="J69">
        <v>2113</v>
      </c>
      <c r="K69"/>
      <c r="L69" s="4">
        <v>46328</v>
      </c>
      <c r="M69" s="4">
        <v>46328</v>
      </c>
      <c r="N69">
        <v>2026</v>
      </c>
      <c r="O69" s="4">
        <v>46023</v>
      </c>
      <c r="P69" t="s">
        <v>217</v>
      </c>
      <c r="Q69" s="18">
        <f t="shared" si="19"/>
        <v>46023</v>
      </c>
      <c r="R69" s="18">
        <f>IFERROR(IF(M69&lt;&gt;"",M69,IF(L69&lt;&gt;"",L69,INDEX('CSM RDD'!B:B,MATCH(B69,'CSM RDD'!A:A,0)))),"-")</f>
        <v>46328</v>
      </c>
      <c r="S69" s="18">
        <f t="shared" si="7"/>
        <v>46023</v>
      </c>
      <c r="T69" s="18">
        <f t="shared" si="8"/>
        <v>46327</v>
      </c>
      <c r="U69" s="6">
        <f t="shared" si="9"/>
        <v>2113</v>
      </c>
      <c r="V69" s="18">
        <f t="shared" si="20"/>
        <v>46082</v>
      </c>
      <c r="W69">
        <f>IF(U69=0,1,IF(U69&lt;='Demand Base Matrix'!$K$3,'Demand Base Matrix'!$L$3,IF(U69&lt;='Demand Base Matrix'!$K$4,'Demand Base Matrix'!$L$4,IF(U69&lt;='Demand Base Matrix'!$K$5,'Demand Base Matrix'!$L$5,IF(U69&lt;='Demand Base Matrix'!$K$6,'Demand Base Matrix'!$L$6,IF(U69&lt;='Demand Base Matrix'!$K$7,'Demand Base Matrix'!$L$7))))))</f>
        <v>1</v>
      </c>
      <c r="X69" s="4">
        <f t="shared" si="10"/>
        <v>46327</v>
      </c>
      <c r="Y69" t="str">
        <f t="shared" si="11"/>
        <v>Dx</v>
      </c>
      <c r="Z69" t="s">
        <v>684</v>
      </c>
      <c r="AA69" t="s">
        <v>685</v>
      </c>
      <c r="AB69" t="s">
        <v>685</v>
      </c>
      <c r="AC69">
        <f>IFERROR(INDEX('Demand Base Matrix'!AM:AM,MATCH(Y69,'Demand Base Matrix'!AL:AL,0)),"-")</f>
        <v>1</v>
      </c>
      <c r="AD69">
        <f>IFERROR(INDEX('Demand Base Matrix'!AO:AO,MATCH(Z69,'Demand Base Matrix'!AN:AN,0)),1)</f>
        <v>1.25</v>
      </c>
      <c r="AE69">
        <f>IFERROR(INDEX('Demand Base Matrix'!AQ:AQ,MATCH(AA69,'Demand Base Matrix'!AP:AP,0)),1)</f>
        <v>1</v>
      </c>
      <c r="AF69">
        <f>IFERROR(INDEX('Demand Base Matrix'!AS:AS,MATCH(AB69,'Demand Base Matrix'!AR:AR,0)),1)</f>
        <v>1</v>
      </c>
      <c r="AG69">
        <f>IF($C69="Validate",(('Demand Base Matrix'!D$2+'Demand Base Matrix'!D$6)*$AC$2*$AD$2*$AE$2+('Demand Base Matrix'!D$3+'Demand Base Matrix'!D$4)*$W$2*$AD$2+'Demand Base Matrix'!D$5*$W$2*$AD$2*$AE$2+'Demand Base Matrix'!D$7+'Demand Base Matrix'!D$8*$AF$2),IF($C69="Integrate",(('Demand Base Matrix'!D$28+'Demand Base Matrix'!D$32)*$AC$2*$AD$2*$AE$2+('Demand Base Matrix'!D$29+'Demand Base Matrix'!D$30)*$W$2*$AD$2+'Demand Base Matrix'!D$31*$W$2*$AD$2*$AE$2+'Demand Base Matrix'!D$33+'Demand Base Matrix'!D$34*$AF$2),IF($C69="Bond",(('Demand Base Matrix'!D$55+'Demand Base Matrix'!D$59)*$AC$2*$AD$2*$AE$2+('Demand Base Matrix'!D$56+'Demand Base Matrix'!D$57)*$W$2*$AD$2+'Demand Base Matrix'!D$58*$W$2*$AD$2*$AE$2+'Demand Base Matrix'!D$60+'Demand Base Matrix'!D$61*$AF$2),IF($C69="Explore",('Demand Base Matrix'!D$82*$AC$2*$AD$2*$AE$2*$AF$2+'Demand Base Matrix'!D$83*$W$2*$AC$2*$AD$2*$AE$2*$AF$2+'Demand Base Matrix'!D$84)))))</f>
        <v>10</v>
      </c>
      <c r="AH69">
        <f>IF($C69="Validate",(('Demand Base Matrix'!E$2+'Demand Base Matrix'!E$6)*$AC$2*$AD$2*$AE$2+('Demand Base Matrix'!E$3+'Demand Base Matrix'!E$4)*$W$2*$AD$2+'Demand Base Matrix'!E$5*$W$2*$AD$2*$AE$2+'Demand Base Matrix'!E$7+'Demand Base Matrix'!E$8*$AF$2),IF($C69="Integrate",(('Demand Base Matrix'!E$28+'Demand Base Matrix'!E$32)*$AC$2*$AD$2*$AE$2+('Demand Base Matrix'!E$29+'Demand Base Matrix'!E$30)*$W$2*$AD$2+'Demand Base Matrix'!E$31*$W$2*$AD$2*$AE$2+'Demand Base Matrix'!E$33+'Demand Base Matrix'!E$34*$AF$2),IF($C69="Bond",(('Demand Base Matrix'!E$55+'Demand Base Matrix'!E$59)*$AC$2*$AD$2*$AE$2+('Demand Base Matrix'!E$56+'Demand Base Matrix'!E$57)*$W$2*$AD$2+'Demand Base Matrix'!E$58*$W$2*$AD$2*$AE$2+'Demand Base Matrix'!E$60+'Demand Base Matrix'!E$61*$AF$2),IF($C69="Explore",('Demand Base Matrix'!E$82*$AC$2*$AD$2*$AE$2*$AF$2+'Demand Base Matrix'!E$83*$W$2*$AC$2*$AD$2*$AE$2*$AF$2+'Demand Base Matrix'!E$84)))))</f>
        <v>10</v>
      </c>
      <c r="AI69">
        <f>IF($C69="Validate",(('Demand Base Matrix'!F$2+'Demand Base Matrix'!F$6)*$AC$2*$AD$2*$AE$2+('Demand Base Matrix'!F$3+'Demand Base Matrix'!F$4)*$W$2*$AD$2+'Demand Base Matrix'!F$5*$W$2*$AD$2*$AE$2+'Demand Base Matrix'!F$7+'Demand Base Matrix'!F$8*$AF$2),IF($C69="Integrate",(('Demand Base Matrix'!F$28+'Demand Base Matrix'!F$32)*$AC$2*$AD$2*$AE$2+('Demand Base Matrix'!F$29+'Demand Base Matrix'!F$30)*$W$2*$AD$2+'Demand Base Matrix'!F$31*$W$2*$AD$2*$AE$2+'Demand Base Matrix'!F$33+'Demand Base Matrix'!F$34*$AF$2),IF($C69="Bond",(('Demand Base Matrix'!F$55+'Demand Base Matrix'!F$59)*$AC$2*$AD$2*$AE$2+('Demand Base Matrix'!F$56+'Demand Base Matrix'!F$57)*$W$2*$AD$2+'Demand Base Matrix'!F$58*$W$2*$AD$2*$AE$2+'Demand Base Matrix'!F$60+'Demand Base Matrix'!F$61*$AF$2),IF($C69="Explore",('Demand Base Matrix'!F$82*$AC$2*$AD$2*$AE$2*$AF$2+'Demand Base Matrix'!F$83*$W$2*$AC$2*$AD$2*$AE$2*$AF$2+'Demand Base Matrix'!F$84)))))</f>
        <v>10</v>
      </c>
      <c r="AJ69">
        <f>IF($C69="Validate",(('Demand Base Matrix'!G$2+'Demand Base Matrix'!G$6)*$AC$2*$AD$2*$AE$2+('Demand Base Matrix'!G$3+'Demand Base Matrix'!G$4)*$W$2*$AD$2+'Demand Base Matrix'!G$5*$W$2*$AD$2*$AE$2+'Demand Base Matrix'!G$7+'Demand Base Matrix'!G$8*$AF$2),IF($C69="Integrate",(('Demand Base Matrix'!G$28+'Demand Base Matrix'!G$32)*$AC$2*$AD$2*$AE$2+('Demand Base Matrix'!G$29+'Demand Base Matrix'!G$30)*$W$2*$AD$2+'Demand Base Matrix'!G$31*$W$2*$AD$2*$AE$2+'Demand Base Matrix'!G$33+'Demand Base Matrix'!G$34*$AF$2),IF($C69="Bond",(('Demand Base Matrix'!G$55+'Demand Base Matrix'!G$59)*$AC$2*$AD$2*$AE$2+('Demand Base Matrix'!G$56+'Demand Base Matrix'!G$57)*$W$2*$AD$2+'Demand Base Matrix'!G$58*$W$2*$AD$2*$AE$2+'Demand Base Matrix'!G$60+'Demand Base Matrix'!G$61*$AF$2),IF($C69="Explore",('Demand Base Matrix'!G$82*$AC$2*$AD$2*$AE$2*$AF$2+'Demand Base Matrix'!G$83*$W$2*$AC$2*$AD$2*$AE$2*$AF$2+'Demand Base Matrix'!G$84)))))</f>
        <v>50</v>
      </c>
      <c r="AK69">
        <f>IF($C69="Validate",(('Demand Base Matrix'!H$2+'Demand Base Matrix'!H$6)*$AC$2*$AD$2*$AE$2+('Demand Base Matrix'!H$3+'Demand Base Matrix'!H$4)*$W$2*$AD$2+'Demand Base Matrix'!H$5*$W$2*$AD$2*$AE$2+'Demand Base Matrix'!H$7+'Demand Base Matrix'!H$8*$AF$2),IF($C69="Integrate",(('Demand Base Matrix'!H$28+'Demand Base Matrix'!H$32)*$AC$2*$AD$2*$AE$2+('Demand Base Matrix'!H$29+'Demand Base Matrix'!H$30)*$W$2*$AD$2+'Demand Base Matrix'!H$31*$W$2*$AD$2*$AE$2+'Demand Base Matrix'!H$33+'Demand Base Matrix'!H$34*$AF$2),IF($C69="Bond",(('Demand Base Matrix'!H$55+'Demand Base Matrix'!H$59)*$AC$2*$AD$2*$AE$2+('Demand Base Matrix'!H$56+'Demand Base Matrix'!H$57)*$W$2*$AD$2+'Demand Base Matrix'!H$58*$W$2*$AD$2*$AE$2+'Demand Base Matrix'!H$60+'Demand Base Matrix'!H$61*$AF$2),IF($C69="Explore",('Demand Base Matrix'!H$82*$AC$2*$AD$2*$AE$2*$AF$2+'Demand Base Matrix'!H$83*$W$2*$AC$2*$AD$2*$AE$2*$AF$2+'Demand Base Matrix'!H$84)))))</f>
        <v>28</v>
      </c>
      <c r="AL69">
        <f>IF($C69="Validate",(('Demand Base Matrix'!I$2+'Demand Base Matrix'!I$6)*$AC$2*$AD$2*$AE$2+('Demand Base Matrix'!I$3+'Demand Base Matrix'!I$4)*$W$2*$AD$2+'Demand Base Matrix'!I$5*$W$2*$AD$2*$AE$2+'Demand Base Matrix'!I$7+'Demand Base Matrix'!I$8*$AF$2),IF($C69="Integrate",(('Demand Base Matrix'!I$28+'Demand Base Matrix'!I$32)*$AC$2*$AD$2*$AE$2+('Demand Base Matrix'!I$29+'Demand Base Matrix'!I$30)*$W$2*$AD$2+'Demand Base Matrix'!I$31*$W$2*$AD$2*$AE$2+'Demand Base Matrix'!I$33+'Demand Base Matrix'!I$34*$AF$2),IF($C69="Bond",(('Demand Base Matrix'!I$55+'Demand Base Matrix'!I$59)*$AC$2*$AD$2*$AE$2+('Demand Base Matrix'!I$56+'Demand Base Matrix'!I$57)*$W$2*$AD$2+'Demand Base Matrix'!I$58*$W$2*$AD$2*$AE$2+'Demand Base Matrix'!I$60+'Demand Base Matrix'!I$61*$AF$2),IF($C69="Explore",('Demand Base Matrix'!I$82*$AC$2*$AD$2*$AE$2*$AF$2+'Demand Base Matrix'!I$83*$W$2*$AC$2*$AD$2*$AE$2*$AF$2+'Demand Base Matrix'!I$84)))))</f>
        <v>8</v>
      </c>
      <c r="AM69">
        <f>IF($C69="Validate",(('Demand Base Matrix'!J$2+'Demand Base Matrix'!J$6)*$AC$2*$AD$2*$AE$2+('Demand Base Matrix'!J$3+'Demand Base Matrix'!J$4)*$W$2*$AD$2+'Demand Base Matrix'!J$5*$W$2*$AD$2*$AE$2+'Demand Base Matrix'!J$7+'Demand Base Matrix'!J$8*$AF$2),IF($C69="Integrate",(('Demand Base Matrix'!J$28+'Demand Base Matrix'!J$32)*$AC$2*$AD$2*$AE$2+('Demand Base Matrix'!J$29+'Demand Base Matrix'!J$30)*$W$2*$AD$2+'Demand Base Matrix'!J$31*$W$2*$AD$2*$AE$2+'Demand Base Matrix'!J$33+'Demand Base Matrix'!J$34*$AF$2),IF($C69="Bond",(('Demand Base Matrix'!J$55+'Demand Base Matrix'!J$59)*$AC$2*$AD$2*$AE$2+('Demand Base Matrix'!J$56+'Demand Base Matrix'!J$57)*$W$2*$AD$2+'Demand Base Matrix'!J$58*$W$2*$AD$2*$AE$2+'Demand Base Matrix'!J$60+'Demand Base Matrix'!J$61*$AF$2),IF($C69="Explore",('Demand Base Matrix'!J$82*$AC$2*$AD$2*$AE$2*$AF$2+'Demand Base Matrix'!J$83*$W$2*$AC$2*$AD$2*$AE$2*$AF$2+'Demand Base Matrix'!J$84)))))</f>
        <v>8</v>
      </c>
    </row>
    <row r="70" spans="1:95" x14ac:dyDescent="0.2">
      <c r="A70" t="s">
        <v>819</v>
      </c>
      <c r="B70" t="s">
        <v>201</v>
      </c>
      <c r="C70" t="s">
        <v>20</v>
      </c>
      <c r="D70" t="s">
        <v>60</v>
      </c>
      <c r="E70" t="s">
        <v>116</v>
      </c>
      <c r="F70" t="s">
        <v>187</v>
      </c>
      <c r="I70" t="str">
        <f>IFERROR(INDEX('Customer 360'!F:F,MATCH(B70,'Customer 360'!A:A,0)),"-")</f>
        <v>A</v>
      </c>
      <c r="J70">
        <v>1000</v>
      </c>
      <c r="K70"/>
      <c r="L70" s="4">
        <v>46079</v>
      </c>
      <c r="M70" s="4">
        <v>46117</v>
      </c>
      <c r="N70">
        <v>2026</v>
      </c>
      <c r="O70" s="4">
        <v>45901</v>
      </c>
      <c r="P70" t="s">
        <v>217</v>
      </c>
      <c r="Q70" s="18">
        <f t="shared" si="19"/>
        <v>45901</v>
      </c>
      <c r="R70" s="18">
        <f>IFERROR(IF(M70&lt;&gt;"",M70,IF(L70&lt;&gt;"",L70,INDEX('CSM RDD'!B:B,MATCH(B70,'CSM RDD'!A:A,0)))),"-")</f>
        <v>46117</v>
      </c>
      <c r="S70" s="18">
        <f t="shared" si="7"/>
        <v>45901</v>
      </c>
      <c r="T70" s="18">
        <f t="shared" si="8"/>
        <v>46113</v>
      </c>
      <c r="U70" s="6">
        <f t="shared" si="9"/>
        <v>1000</v>
      </c>
      <c r="V70" s="18">
        <f t="shared" si="20"/>
        <v>45901</v>
      </c>
      <c r="W70">
        <f>IF(U70=0,1,IF(U70&lt;='Demand Base Matrix'!$K$3,'Demand Base Matrix'!$L$3,IF(U70&lt;='Demand Base Matrix'!$K$4,'Demand Base Matrix'!$L$4,IF(U70&lt;='Demand Base Matrix'!$K$5,'Demand Base Matrix'!$L$5,IF(U70&lt;='Demand Base Matrix'!$K$6,'Demand Base Matrix'!$L$6,IF(U70&lt;='Demand Base Matrix'!$K$7,'Demand Base Matrix'!$L$7))))))</f>
        <v>0.75</v>
      </c>
      <c r="X70" s="4">
        <f t="shared" si="10"/>
        <v>46113</v>
      </c>
      <c r="Y70" t="str">
        <f t="shared" si="11"/>
        <v>Dx</v>
      </c>
      <c r="Z70" t="s">
        <v>685</v>
      </c>
      <c r="AA70" t="s">
        <v>685</v>
      </c>
      <c r="AB70" t="s">
        <v>685</v>
      </c>
      <c r="AC70">
        <f>IFERROR(INDEX('Demand Base Matrix'!AM:AM,MATCH(Y70,'Demand Base Matrix'!AL:AL,0)),"-")</f>
        <v>1</v>
      </c>
      <c r="AD70">
        <f>IFERROR(INDEX('Demand Base Matrix'!AO:AO,MATCH(Z70,'Demand Base Matrix'!AN:AN,0)),1)</f>
        <v>1</v>
      </c>
      <c r="AE70">
        <f>IFERROR(INDEX('Demand Base Matrix'!AQ:AQ,MATCH(AA70,'Demand Base Matrix'!AP:AP,0)),1)</f>
        <v>1</v>
      </c>
      <c r="AF70">
        <f>IFERROR(INDEX('Demand Base Matrix'!AS:AS,MATCH(AB70,'Demand Base Matrix'!AR:AR,0)),1)</f>
        <v>1</v>
      </c>
      <c r="AG70">
        <f>IF($C70="Validate",(('Demand Base Matrix'!D$2+'Demand Base Matrix'!D$6)*$AC$2*$AD$2*$AE$2+('Demand Base Matrix'!D$3+'Demand Base Matrix'!D$4)*$W$2*$AD$2+'Demand Base Matrix'!D$5*$W$2*$AD$2*$AE$2+'Demand Base Matrix'!D$7+'Demand Base Matrix'!D$8*$AF$2),IF($C70="Integrate",(('Demand Base Matrix'!D$28+'Demand Base Matrix'!D$32)*$AC$2*$AD$2*$AE$2+('Demand Base Matrix'!D$29+'Demand Base Matrix'!D$30)*$W$2*$AD$2+'Demand Base Matrix'!D$31*$W$2*$AD$2*$AE$2+'Demand Base Matrix'!D$33+'Demand Base Matrix'!D$34*$AF$2),IF($C70="Bond",(('Demand Base Matrix'!D$55+'Demand Base Matrix'!D$59)*$AC$2*$AD$2*$AE$2+('Demand Base Matrix'!D$56+'Demand Base Matrix'!D$57)*$W$2*$AD$2+'Demand Base Matrix'!D$58*$W$2*$AD$2*$AE$2+'Demand Base Matrix'!D$60+'Demand Base Matrix'!D$61*$AF$2),IF($C70="Explore",('Demand Base Matrix'!D$82*$AC$2*$AD$2*$AE$2*$AF$2+'Demand Base Matrix'!D$83*$W$2*$AC$2*$AD$2*$AE$2*$AF$2+'Demand Base Matrix'!D$84)))))</f>
        <v>15</v>
      </c>
      <c r="AH70">
        <f>IF($C70="Validate",(('Demand Base Matrix'!E$2+'Demand Base Matrix'!E$6)*$AC$2*$AD$2*$AE$2+('Demand Base Matrix'!E$3+'Demand Base Matrix'!E$4)*$W$2*$AD$2+'Demand Base Matrix'!E$5*$W$2*$AD$2*$AE$2+'Demand Base Matrix'!E$7+'Demand Base Matrix'!E$8*$AF$2),IF($C70="Integrate",(('Demand Base Matrix'!E$28+'Demand Base Matrix'!E$32)*$AC$2*$AD$2*$AE$2+('Demand Base Matrix'!E$29+'Demand Base Matrix'!E$30)*$W$2*$AD$2+'Demand Base Matrix'!E$31*$W$2*$AD$2*$AE$2+'Demand Base Matrix'!E$33+'Demand Base Matrix'!E$34*$AF$2),IF($C70="Bond",(('Demand Base Matrix'!E$55+'Demand Base Matrix'!E$59)*$AC$2*$AD$2*$AE$2+('Demand Base Matrix'!E$56+'Demand Base Matrix'!E$57)*$W$2*$AD$2+'Demand Base Matrix'!E$58*$W$2*$AD$2*$AE$2+'Demand Base Matrix'!E$60+'Demand Base Matrix'!E$61*$AF$2),IF($C70="Explore",('Demand Base Matrix'!E$82*$AC$2*$AD$2*$AE$2*$AF$2+'Demand Base Matrix'!E$83*$W$2*$AC$2*$AD$2*$AE$2*$AF$2+'Demand Base Matrix'!E$84)))))</f>
        <v>15</v>
      </c>
      <c r="AI70">
        <f>IF($C70="Validate",(('Demand Base Matrix'!F$2+'Demand Base Matrix'!F$6)*$AC$2*$AD$2*$AE$2+('Demand Base Matrix'!F$3+'Demand Base Matrix'!F$4)*$W$2*$AD$2+'Demand Base Matrix'!F$5*$W$2*$AD$2*$AE$2+'Demand Base Matrix'!F$7+'Demand Base Matrix'!F$8*$AF$2),IF($C70="Integrate",(('Demand Base Matrix'!F$28+'Demand Base Matrix'!F$32)*$AC$2*$AD$2*$AE$2+('Demand Base Matrix'!F$29+'Demand Base Matrix'!F$30)*$W$2*$AD$2+'Demand Base Matrix'!F$31*$W$2*$AD$2*$AE$2+'Demand Base Matrix'!F$33+'Demand Base Matrix'!F$34*$AF$2),IF($C70="Bond",(('Demand Base Matrix'!F$55+'Demand Base Matrix'!F$59)*$AC$2*$AD$2*$AE$2+('Demand Base Matrix'!F$56+'Demand Base Matrix'!F$57)*$W$2*$AD$2+'Demand Base Matrix'!F$58*$W$2*$AD$2*$AE$2+'Demand Base Matrix'!F$60+'Demand Base Matrix'!F$61*$AF$2),IF($C70="Explore",('Demand Base Matrix'!F$82*$AC$2*$AD$2*$AE$2*$AF$2+'Demand Base Matrix'!F$83*$W$2*$AC$2*$AD$2*$AE$2*$AF$2+'Demand Base Matrix'!F$84)))))</f>
        <v>7</v>
      </c>
      <c r="AJ70">
        <f>IF($C70="Validate",(('Demand Base Matrix'!G$2+'Demand Base Matrix'!G$6)*$AC$2*$AD$2*$AE$2+('Demand Base Matrix'!G$3+'Demand Base Matrix'!G$4)*$W$2*$AD$2+'Demand Base Matrix'!G$5*$W$2*$AD$2*$AE$2+'Demand Base Matrix'!G$7+'Demand Base Matrix'!G$8*$AF$2),IF($C70="Integrate",(('Demand Base Matrix'!G$28+'Demand Base Matrix'!G$32)*$AC$2*$AD$2*$AE$2+('Demand Base Matrix'!G$29+'Demand Base Matrix'!G$30)*$W$2*$AD$2+'Demand Base Matrix'!G$31*$W$2*$AD$2*$AE$2+'Demand Base Matrix'!G$33+'Demand Base Matrix'!G$34*$AF$2),IF($C70="Bond",(('Demand Base Matrix'!G$55+'Demand Base Matrix'!G$59)*$AC$2*$AD$2*$AE$2+('Demand Base Matrix'!G$56+'Demand Base Matrix'!G$57)*$W$2*$AD$2+'Demand Base Matrix'!G$58*$W$2*$AD$2*$AE$2+'Demand Base Matrix'!G$60+'Demand Base Matrix'!G$61*$AF$2),IF($C70="Explore",('Demand Base Matrix'!G$82*$AC$2*$AD$2*$AE$2*$AF$2+'Demand Base Matrix'!G$83*$W$2*$AC$2*$AD$2*$AE$2*$AF$2+'Demand Base Matrix'!G$84)))))</f>
        <v>40</v>
      </c>
      <c r="AK70">
        <f>IF($C70="Validate",(('Demand Base Matrix'!H$2+'Demand Base Matrix'!H$6)*$AC$2*$AD$2*$AE$2+('Demand Base Matrix'!H$3+'Demand Base Matrix'!H$4)*$W$2*$AD$2+'Demand Base Matrix'!H$5*$W$2*$AD$2*$AE$2+'Demand Base Matrix'!H$7+'Demand Base Matrix'!H$8*$AF$2),IF($C70="Integrate",(('Demand Base Matrix'!H$28+'Demand Base Matrix'!H$32)*$AC$2*$AD$2*$AE$2+('Demand Base Matrix'!H$29+'Demand Base Matrix'!H$30)*$W$2*$AD$2+'Demand Base Matrix'!H$31*$W$2*$AD$2*$AE$2+'Demand Base Matrix'!H$33+'Demand Base Matrix'!H$34*$AF$2),IF($C70="Bond",(('Demand Base Matrix'!H$55+'Demand Base Matrix'!H$59)*$AC$2*$AD$2*$AE$2+('Demand Base Matrix'!H$56+'Demand Base Matrix'!H$57)*$W$2*$AD$2+'Demand Base Matrix'!H$58*$W$2*$AD$2*$AE$2+'Demand Base Matrix'!H$60+'Demand Base Matrix'!H$61*$AF$2),IF($C70="Explore",('Demand Base Matrix'!H$82*$AC$2*$AD$2*$AE$2*$AF$2+'Demand Base Matrix'!H$83*$W$2*$AC$2*$AD$2*$AE$2*$AF$2+'Demand Base Matrix'!H$84)))))</f>
        <v>60</v>
      </c>
      <c r="AL70">
        <f>IF($C70="Validate",(('Demand Base Matrix'!I$2+'Demand Base Matrix'!I$6)*$AC$2*$AD$2*$AE$2+('Demand Base Matrix'!I$3+'Demand Base Matrix'!I$4)*$W$2*$AD$2+'Demand Base Matrix'!I$5*$W$2*$AD$2*$AE$2+'Demand Base Matrix'!I$7+'Demand Base Matrix'!I$8*$AF$2),IF($C70="Integrate",(('Demand Base Matrix'!I$28+'Demand Base Matrix'!I$32)*$AC$2*$AD$2*$AE$2+('Demand Base Matrix'!I$29+'Demand Base Matrix'!I$30)*$W$2*$AD$2+'Demand Base Matrix'!I$31*$W$2*$AD$2*$AE$2+'Demand Base Matrix'!I$33+'Demand Base Matrix'!I$34*$AF$2),IF($C70="Bond",(('Demand Base Matrix'!I$55+'Demand Base Matrix'!I$59)*$AC$2*$AD$2*$AE$2+('Demand Base Matrix'!I$56+'Demand Base Matrix'!I$57)*$W$2*$AD$2+'Demand Base Matrix'!I$58*$W$2*$AD$2*$AE$2+'Demand Base Matrix'!I$60+'Demand Base Matrix'!I$61*$AF$2),IF($C70="Explore",('Demand Base Matrix'!I$82*$AC$2*$AD$2*$AE$2*$AF$2+'Demand Base Matrix'!I$83*$W$2*$AC$2*$AD$2*$AE$2*$AF$2+'Demand Base Matrix'!I$84)))))</f>
        <v>10</v>
      </c>
      <c r="AM70">
        <f>IF($C70="Validate",(('Demand Base Matrix'!J$2+'Demand Base Matrix'!J$6)*$AC$2*$AD$2*$AE$2+('Demand Base Matrix'!J$3+'Demand Base Matrix'!J$4)*$W$2*$AD$2+'Demand Base Matrix'!J$5*$W$2*$AD$2*$AE$2+'Demand Base Matrix'!J$7+'Demand Base Matrix'!J$8*$AF$2),IF($C70="Integrate",(('Demand Base Matrix'!J$28+'Demand Base Matrix'!J$32)*$AC$2*$AD$2*$AE$2+('Demand Base Matrix'!J$29+'Demand Base Matrix'!J$30)*$W$2*$AD$2+'Demand Base Matrix'!J$31*$W$2*$AD$2*$AE$2+'Demand Base Matrix'!J$33+'Demand Base Matrix'!J$34*$AF$2),IF($C70="Bond",(('Demand Base Matrix'!J$55+'Demand Base Matrix'!J$59)*$AC$2*$AD$2*$AE$2+('Demand Base Matrix'!J$56+'Demand Base Matrix'!J$57)*$W$2*$AD$2+'Demand Base Matrix'!J$58*$W$2*$AD$2*$AE$2+'Demand Base Matrix'!J$60+'Demand Base Matrix'!J$61*$AF$2),IF($C70="Explore",('Demand Base Matrix'!J$82*$AC$2*$AD$2*$AE$2*$AF$2+'Demand Base Matrix'!J$83*$W$2*$AC$2*$AD$2*$AE$2*$AF$2+'Demand Base Matrix'!J$84)))))</f>
        <v>4</v>
      </c>
    </row>
    <row r="71" spans="1:95" x14ac:dyDescent="0.2">
      <c r="A71" t="s">
        <v>780</v>
      </c>
      <c r="B71" t="s">
        <v>202</v>
      </c>
      <c r="C71" t="s">
        <v>20</v>
      </c>
      <c r="D71" t="s">
        <v>179</v>
      </c>
      <c r="E71" t="s">
        <v>207</v>
      </c>
      <c r="F71" t="s">
        <v>109</v>
      </c>
      <c r="I71" t="str">
        <f>IFERROR(INDEX('Customer 360'!F:F,MATCH(B71,'Customer 360'!A:A,0)),"-")</f>
        <v>A</v>
      </c>
      <c r="J71">
        <v>9747</v>
      </c>
      <c r="K71">
        <v>2137</v>
      </c>
      <c r="L71" s="4">
        <v>46281</v>
      </c>
      <c r="M71" s="4">
        <v>46281</v>
      </c>
      <c r="N71">
        <v>2026</v>
      </c>
      <c r="O71" s="4">
        <v>46023</v>
      </c>
      <c r="P71" t="s">
        <v>217</v>
      </c>
      <c r="Q71" s="18">
        <f t="shared" si="19"/>
        <v>46023</v>
      </c>
      <c r="R71" s="18">
        <f>IFERROR(IF(M71&lt;&gt;"",M71,IF(L71&lt;&gt;"",L71,INDEX('CSM RDD'!B:B,MATCH(B71,'CSM RDD'!A:A,0)))),"-")</f>
        <v>46281</v>
      </c>
      <c r="S71" s="18">
        <f t="shared" si="7"/>
        <v>46023</v>
      </c>
      <c r="T71" s="18">
        <f t="shared" si="8"/>
        <v>46266</v>
      </c>
      <c r="U71" s="6">
        <f t="shared" si="9"/>
        <v>11884</v>
      </c>
      <c r="V71" s="18">
        <f t="shared" si="20"/>
        <v>46023</v>
      </c>
      <c r="W71">
        <f>IF(U71=0,1,IF(U71&lt;='Demand Base Matrix'!$K$3,'Demand Base Matrix'!$L$3,IF(U71&lt;='Demand Base Matrix'!$K$4,'Demand Base Matrix'!$L$4,IF(U71&lt;='Demand Base Matrix'!$K$5,'Demand Base Matrix'!$L$5,IF(U71&lt;='Demand Base Matrix'!$K$6,'Demand Base Matrix'!$L$6,IF(U71&lt;='Demand Base Matrix'!$K$7,'Demand Base Matrix'!$L$7))))))</f>
        <v>1.5</v>
      </c>
      <c r="X71" s="4">
        <f t="shared" si="10"/>
        <v>46266</v>
      </c>
      <c r="Y71" t="str">
        <f t="shared" si="11"/>
        <v>Tx</v>
      </c>
      <c r="Z71" t="s">
        <v>685</v>
      </c>
      <c r="AA71" t="s">
        <v>685</v>
      </c>
      <c r="AB71" t="s">
        <v>685</v>
      </c>
      <c r="AC71">
        <f>IFERROR(INDEX('Demand Base Matrix'!AM:AM,MATCH(Y71,'Demand Base Matrix'!AL:AL,0)),"-")</f>
        <v>1.5</v>
      </c>
      <c r="AD71">
        <f>IFERROR(INDEX('Demand Base Matrix'!AO:AO,MATCH(Z71,'Demand Base Matrix'!AN:AN,0)),1)</f>
        <v>1</v>
      </c>
      <c r="AE71">
        <f>IFERROR(INDEX('Demand Base Matrix'!AQ:AQ,MATCH(AA71,'Demand Base Matrix'!AP:AP,0)),1)</f>
        <v>1</v>
      </c>
      <c r="AF71">
        <f>IFERROR(INDEX('Demand Base Matrix'!AS:AS,MATCH(AB71,'Demand Base Matrix'!AR:AR,0)),1)</f>
        <v>1</v>
      </c>
      <c r="AG71">
        <f>IF($C71="Validate",(('Demand Base Matrix'!D$2+'Demand Base Matrix'!D$6)*$AC$2*$AD$2*$AE$2+('Demand Base Matrix'!D$3+'Demand Base Matrix'!D$4)*$W$2*$AD$2+'Demand Base Matrix'!D$5*$W$2*$AD$2*$AE$2+'Demand Base Matrix'!D$7+'Demand Base Matrix'!D$8*$AF$2),IF($C71="Integrate",(('Demand Base Matrix'!D$28+'Demand Base Matrix'!D$32)*$AC$2*$AD$2*$AE$2+('Demand Base Matrix'!D$29+'Demand Base Matrix'!D$30)*$W$2*$AD$2+'Demand Base Matrix'!D$31*$W$2*$AD$2*$AE$2+'Demand Base Matrix'!D$33+'Demand Base Matrix'!D$34*$AF$2),IF($C71="Bond",(('Demand Base Matrix'!D$55+'Demand Base Matrix'!D$59)*$AC$2*$AD$2*$AE$2+('Demand Base Matrix'!D$56+'Demand Base Matrix'!D$57)*$W$2*$AD$2+'Demand Base Matrix'!D$58*$W$2*$AD$2*$AE$2+'Demand Base Matrix'!D$60+'Demand Base Matrix'!D$61*$AF$2),IF($C71="Explore",('Demand Base Matrix'!D$82*$AC$2*$AD$2*$AE$2*$AF$2+'Demand Base Matrix'!D$83*$W$2*$AC$2*$AD$2*$AE$2*$AF$2+'Demand Base Matrix'!D$84)))))</f>
        <v>15</v>
      </c>
      <c r="AH71">
        <f>IF($C71="Validate",(('Demand Base Matrix'!E$2+'Demand Base Matrix'!E$6)*$AC$2*$AD$2*$AE$2+('Demand Base Matrix'!E$3+'Demand Base Matrix'!E$4)*$W$2*$AD$2+'Demand Base Matrix'!E$5*$W$2*$AD$2*$AE$2+'Demand Base Matrix'!E$7+'Demand Base Matrix'!E$8*$AF$2),IF($C71="Integrate",(('Demand Base Matrix'!E$28+'Demand Base Matrix'!E$32)*$AC$2*$AD$2*$AE$2+('Demand Base Matrix'!E$29+'Demand Base Matrix'!E$30)*$W$2*$AD$2+'Demand Base Matrix'!E$31*$W$2*$AD$2*$AE$2+'Demand Base Matrix'!E$33+'Demand Base Matrix'!E$34*$AF$2),IF($C71="Bond",(('Demand Base Matrix'!E$55+'Demand Base Matrix'!E$59)*$AC$2*$AD$2*$AE$2+('Demand Base Matrix'!E$56+'Demand Base Matrix'!E$57)*$W$2*$AD$2+'Demand Base Matrix'!E$58*$W$2*$AD$2*$AE$2+'Demand Base Matrix'!E$60+'Demand Base Matrix'!E$61*$AF$2),IF($C71="Explore",('Demand Base Matrix'!E$82*$AC$2*$AD$2*$AE$2*$AF$2+'Demand Base Matrix'!E$83*$W$2*$AC$2*$AD$2*$AE$2*$AF$2+'Demand Base Matrix'!E$84)))))</f>
        <v>15</v>
      </c>
      <c r="AI71">
        <f>IF($C71="Validate",(('Demand Base Matrix'!F$2+'Demand Base Matrix'!F$6)*$AC$2*$AD$2*$AE$2+('Demand Base Matrix'!F$3+'Demand Base Matrix'!F$4)*$W$2*$AD$2+'Demand Base Matrix'!F$5*$W$2*$AD$2*$AE$2+'Demand Base Matrix'!F$7+'Demand Base Matrix'!F$8*$AF$2),IF($C71="Integrate",(('Demand Base Matrix'!F$28+'Demand Base Matrix'!F$32)*$AC$2*$AD$2*$AE$2+('Demand Base Matrix'!F$29+'Demand Base Matrix'!F$30)*$W$2*$AD$2+'Demand Base Matrix'!F$31*$W$2*$AD$2*$AE$2+'Demand Base Matrix'!F$33+'Demand Base Matrix'!F$34*$AF$2),IF($C71="Bond",(('Demand Base Matrix'!F$55+'Demand Base Matrix'!F$59)*$AC$2*$AD$2*$AE$2+('Demand Base Matrix'!F$56+'Demand Base Matrix'!F$57)*$W$2*$AD$2+'Demand Base Matrix'!F$58*$W$2*$AD$2*$AE$2+'Demand Base Matrix'!F$60+'Demand Base Matrix'!F$61*$AF$2),IF($C71="Explore",('Demand Base Matrix'!F$82*$AC$2*$AD$2*$AE$2*$AF$2+'Demand Base Matrix'!F$83*$W$2*$AC$2*$AD$2*$AE$2*$AF$2+'Demand Base Matrix'!F$84)))))</f>
        <v>7</v>
      </c>
      <c r="AJ71">
        <f>IF($C71="Validate",(('Demand Base Matrix'!G$2+'Demand Base Matrix'!G$6)*$AC$2*$AD$2*$AE$2+('Demand Base Matrix'!G$3+'Demand Base Matrix'!G$4)*$W$2*$AD$2+'Demand Base Matrix'!G$5*$W$2*$AD$2*$AE$2+'Demand Base Matrix'!G$7+'Demand Base Matrix'!G$8*$AF$2),IF($C71="Integrate",(('Demand Base Matrix'!G$28+'Demand Base Matrix'!G$32)*$AC$2*$AD$2*$AE$2+('Demand Base Matrix'!G$29+'Demand Base Matrix'!G$30)*$W$2*$AD$2+'Demand Base Matrix'!G$31*$W$2*$AD$2*$AE$2+'Demand Base Matrix'!G$33+'Demand Base Matrix'!G$34*$AF$2),IF($C71="Bond",(('Demand Base Matrix'!G$55+'Demand Base Matrix'!G$59)*$AC$2*$AD$2*$AE$2+('Demand Base Matrix'!G$56+'Demand Base Matrix'!G$57)*$W$2*$AD$2+'Demand Base Matrix'!G$58*$W$2*$AD$2*$AE$2+'Demand Base Matrix'!G$60+'Demand Base Matrix'!G$61*$AF$2),IF($C71="Explore",('Demand Base Matrix'!G$82*$AC$2*$AD$2*$AE$2*$AF$2+'Demand Base Matrix'!G$83*$W$2*$AC$2*$AD$2*$AE$2*$AF$2+'Demand Base Matrix'!G$84)))))</f>
        <v>40</v>
      </c>
      <c r="AK71">
        <f>IF($C71="Validate",(('Demand Base Matrix'!H$2+'Demand Base Matrix'!H$6)*$AC$2*$AD$2*$AE$2+('Demand Base Matrix'!H$3+'Demand Base Matrix'!H$4)*$W$2*$AD$2+'Demand Base Matrix'!H$5*$W$2*$AD$2*$AE$2+'Demand Base Matrix'!H$7+'Demand Base Matrix'!H$8*$AF$2),IF($C71="Integrate",(('Demand Base Matrix'!H$28+'Demand Base Matrix'!H$32)*$AC$2*$AD$2*$AE$2+('Demand Base Matrix'!H$29+'Demand Base Matrix'!H$30)*$W$2*$AD$2+'Demand Base Matrix'!H$31*$W$2*$AD$2*$AE$2+'Demand Base Matrix'!H$33+'Demand Base Matrix'!H$34*$AF$2),IF($C71="Bond",(('Demand Base Matrix'!H$55+'Demand Base Matrix'!H$59)*$AC$2*$AD$2*$AE$2+('Demand Base Matrix'!H$56+'Demand Base Matrix'!H$57)*$W$2*$AD$2+'Demand Base Matrix'!H$58*$W$2*$AD$2*$AE$2+'Demand Base Matrix'!H$60+'Demand Base Matrix'!H$61*$AF$2),IF($C71="Explore",('Demand Base Matrix'!H$82*$AC$2*$AD$2*$AE$2*$AF$2+'Demand Base Matrix'!H$83*$W$2*$AC$2*$AD$2*$AE$2*$AF$2+'Demand Base Matrix'!H$84)))))</f>
        <v>60</v>
      </c>
      <c r="AL71">
        <f>IF($C71="Validate",(('Demand Base Matrix'!I$2+'Demand Base Matrix'!I$6)*$AC$2*$AD$2*$AE$2+('Demand Base Matrix'!I$3+'Demand Base Matrix'!I$4)*$W$2*$AD$2+'Demand Base Matrix'!I$5*$W$2*$AD$2*$AE$2+'Demand Base Matrix'!I$7+'Demand Base Matrix'!I$8*$AF$2),IF($C71="Integrate",(('Demand Base Matrix'!I$28+'Demand Base Matrix'!I$32)*$AC$2*$AD$2*$AE$2+('Demand Base Matrix'!I$29+'Demand Base Matrix'!I$30)*$W$2*$AD$2+'Demand Base Matrix'!I$31*$W$2*$AD$2*$AE$2+'Demand Base Matrix'!I$33+'Demand Base Matrix'!I$34*$AF$2),IF($C71="Bond",(('Demand Base Matrix'!I$55+'Demand Base Matrix'!I$59)*$AC$2*$AD$2*$AE$2+('Demand Base Matrix'!I$56+'Demand Base Matrix'!I$57)*$W$2*$AD$2+'Demand Base Matrix'!I$58*$W$2*$AD$2*$AE$2+'Demand Base Matrix'!I$60+'Demand Base Matrix'!I$61*$AF$2),IF($C71="Explore",('Demand Base Matrix'!I$82*$AC$2*$AD$2*$AE$2*$AF$2+'Demand Base Matrix'!I$83*$W$2*$AC$2*$AD$2*$AE$2*$AF$2+'Demand Base Matrix'!I$84)))))</f>
        <v>10</v>
      </c>
      <c r="AM71">
        <f>IF($C71="Validate",(('Demand Base Matrix'!J$2+'Demand Base Matrix'!J$6)*$AC$2*$AD$2*$AE$2+('Demand Base Matrix'!J$3+'Demand Base Matrix'!J$4)*$W$2*$AD$2+'Demand Base Matrix'!J$5*$W$2*$AD$2*$AE$2+'Demand Base Matrix'!J$7+'Demand Base Matrix'!J$8*$AF$2),IF($C71="Integrate",(('Demand Base Matrix'!J$28+'Demand Base Matrix'!J$32)*$AC$2*$AD$2*$AE$2+('Demand Base Matrix'!J$29+'Demand Base Matrix'!J$30)*$W$2*$AD$2+'Demand Base Matrix'!J$31*$W$2*$AD$2*$AE$2+'Demand Base Matrix'!J$33+'Demand Base Matrix'!J$34*$AF$2),IF($C71="Bond",(('Demand Base Matrix'!J$55+'Demand Base Matrix'!J$59)*$AC$2*$AD$2*$AE$2+('Demand Base Matrix'!J$56+'Demand Base Matrix'!J$57)*$W$2*$AD$2+'Demand Base Matrix'!J$58*$W$2*$AD$2*$AE$2+'Demand Base Matrix'!J$60+'Demand Base Matrix'!J$61*$AF$2),IF($C71="Explore",('Demand Base Matrix'!J$82*$AC$2*$AD$2*$AE$2*$AF$2+'Demand Base Matrix'!J$83*$W$2*$AC$2*$AD$2*$AE$2*$AF$2+'Demand Base Matrix'!J$84)))))</f>
        <v>4</v>
      </c>
    </row>
    <row r="72" spans="1:95" x14ac:dyDescent="0.2">
      <c r="A72" t="s">
        <v>781</v>
      </c>
      <c r="B72" t="s">
        <v>97</v>
      </c>
      <c r="C72" t="s">
        <v>23</v>
      </c>
      <c r="D72" t="s">
        <v>178</v>
      </c>
      <c r="E72" t="s">
        <v>115</v>
      </c>
      <c r="F72" t="s">
        <v>93</v>
      </c>
      <c r="I72" t="str">
        <f>IFERROR(INDEX('Customer 360'!F:F,MATCH(B72,'Customer 360'!A:A,0)),"-")</f>
        <v>D</v>
      </c>
      <c r="J72">
        <v>2591</v>
      </c>
      <c r="K72">
        <v>52</v>
      </c>
      <c r="L72" s="4">
        <v>46289</v>
      </c>
      <c r="M72" s="4">
        <v>46289</v>
      </c>
      <c r="N72">
        <v>2026</v>
      </c>
      <c r="O72" s="4">
        <v>46023</v>
      </c>
      <c r="P72" t="s">
        <v>217</v>
      </c>
      <c r="Q72" s="18">
        <f t="shared" si="19"/>
        <v>46023</v>
      </c>
      <c r="R72" s="18">
        <f>IFERROR(IF(M72&lt;&gt;"",M72,IF(L72&lt;&gt;"",L72,INDEX('CSM RDD'!B:B,MATCH(B72,'CSM RDD'!A:A,0)))),"-")</f>
        <v>46289</v>
      </c>
      <c r="S72" s="18">
        <f t="shared" si="7"/>
        <v>46023</v>
      </c>
      <c r="T72" s="18">
        <f t="shared" si="8"/>
        <v>46266</v>
      </c>
      <c r="U72" s="6">
        <f t="shared" si="9"/>
        <v>2643</v>
      </c>
      <c r="V72" s="18">
        <f t="shared" si="20"/>
        <v>46082</v>
      </c>
      <c r="W72">
        <f>IF(U72=0,1,IF(U72&lt;='Demand Base Matrix'!$K$3,'Demand Base Matrix'!$L$3,IF(U72&lt;='Demand Base Matrix'!$K$4,'Demand Base Matrix'!$L$4,IF(U72&lt;='Demand Base Matrix'!$K$5,'Demand Base Matrix'!$L$5,IF(U72&lt;='Demand Base Matrix'!$K$6,'Demand Base Matrix'!$L$6,IF(U72&lt;='Demand Base Matrix'!$K$7,'Demand Base Matrix'!$L$7))))))</f>
        <v>1</v>
      </c>
      <c r="X72" s="4">
        <f t="shared" si="10"/>
        <v>46266</v>
      </c>
      <c r="Y72" t="str">
        <f t="shared" si="11"/>
        <v>Tx</v>
      </c>
      <c r="Z72" t="s">
        <v>685</v>
      </c>
      <c r="AA72" t="s">
        <v>685</v>
      </c>
      <c r="AB72" t="s">
        <v>685</v>
      </c>
      <c r="AC72">
        <f>IFERROR(INDEX('Demand Base Matrix'!AM:AM,MATCH(Y72,'Demand Base Matrix'!AL:AL,0)),"-")</f>
        <v>1.5</v>
      </c>
      <c r="AD72">
        <f>IFERROR(INDEX('Demand Base Matrix'!AO:AO,MATCH(Z72,'Demand Base Matrix'!AN:AN,0)),1)</f>
        <v>1</v>
      </c>
      <c r="AE72">
        <f>IFERROR(INDEX('Demand Base Matrix'!AQ:AQ,MATCH(AA72,'Demand Base Matrix'!AP:AP,0)),1)</f>
        <v>1</v>
      </c>
      <c r="AF72">
        <f>IFERROR(INDEX('Demand Base Matrix'!AS:AS,MATCH(AB72,'Demand Base Matrix'!AR:AR,0)),1)</f>
        <v>1</v>
      </c>
      <c r="AG72">
        <f>IF($C72="Validate",(('Demand Base Matrix'!D$2+'Demand Base Matrix'!D$6)*$AC$2*$AD$2*$AE$2+('Demand Base Matrix'!D$3+'Demand Base Matrix'!D$4)*$W$2*$AD$2+'Demand Base Matrix'!D$5*$W$2*$AD$2*$AE$2+'Demand Base Matrix'!D$7+'Demand Base Matrix'!D$8*$AF$2),IF($C72="Integrate",(('Demand Base Matrix'!D$28+'Demand Base Matrix'!D$32)*$AC$2*$AD$2*$AE$2+('Demand Base Matrix'!D$29+'Demand Base Matrix'!D$30)*$W$2*$AD$2+'Demand Base Matrix'!D$31*$W$2*$AD$2*$AE$2+'Demand Base Matrix'!D$33+'Demand Base Matrix'!D$34*$AF$2),IF($C72="Bond",(('Demand Base Matrix'!D$55+'Demand Base Matrix'!D$59)*$AC$2*$AD$2*$AE$2+('Demand Base Matrix'!D$56+'Demand Base Matrix'!D$57)*$W$2*$AD$2+'Demand Base Matrix'!D$58*$W$2*$AD$2*$AE$2+'Demand Base Matrix'!D$60+'Demand Base Matrix'!D$61*$AF$2),IF($C72="Explore",('Demand Base Matrix'!D$82*$AC$2*$AD$2*$AE$2*$AF$2+'Demand Base Matrix'!D$83*$W$2*$AC$2*$AD$2*$AE$2*$AF$2+'Demand Base Matrix'!D$84)))))</f>
        <v>10</v>
      </c>
      <c r="AH72">
        <f>IF($C72="Validate",(('Demand Base Matrix'!E$2+'Demand Base Matrix'!E$6)*$AC$2*$AD$2*$AE$2+('Demand Base Matrix'!E$3+'Demand Base Matrix'!E$4)*$W$2*$AD$2+'Demand Base Matrix'!E$5*$W$2*$AD$2*$AE$2+'Demand Base Matrix'!E$7+'Demand Base Matrix'!E$8*$AF$2),IF($C72="Integrate",(('Demand Base Matrix'!E$28+'Demand Base Matrix'!E$32)*$AC$2*$AD$2*$AE$2+('Demand Base Matrix'!E$29+'Demand Base Matrix'!E$30)*$W$2*$AD$2+'Demand Base Matrix'!E$31*$W$2*$AD$2*$AE$2+'Demand Base Matrix'!E$33+'Demand Base Matrix'!E$34*$AF$2),IF($C72="Bond",(('Demand Base Matrix'!E$55+'Demand Base Matrix'!E$59)*$AC$2*$AD$2*$AE$2+('Demand Base Matrix'!E$56+'Demand Base Matrix'!E$57)*$W$2*$AD$2+'Demand Base Matrix'!E$58*$W$2*$AD$2*$AE$2+'Demand Base Matrix'!E$60+'Demand Base Matrix'!E$61*$AF$2),IF($C72="Explore",('Demand Base Matrix'!E$82*$AC$2*$AD$2*$AE$2*$AF$2+'Demand Base Matrix'!E$83*$W$2*$AC$2*$AD$2*$AE$2*$AF$2+'Demand Base Matrix'!E$84)))))</f>
        <v>10</v>
      </c>
      <c r="AI72">
        <f>IF($C72="Validate",(('Demand Base Matrix'!F$2+'Demand Base Matrix'!F$6)*$AC$2*$AD$2*$AE$2+('Demand Base Matrix'!F$3+'Demand Base Matrix'!F$4)*$W$2*$AD$2+'Demand Base Matrix'!F$5*$W$2*$AD$2*$AE$2+'Demand Base Matrix'!F$7+'Demand Base Matrix'!F$8*$AF$2),IF($C72="Integrate",(('Demand Base Matrix'!F$28+'Demand Base Matrix'!F$32)*$AC$2*$AD$2*$AE$2+('Demand Base Matrix'!F$29+'Demand Base Matrix'!F$30)*$W$2*$AD$2+'Demand Base Matrix'!F$31*$W$2*$AD$2*$AE$2+'Demand Base Matrix'!F$33+'Demand Base Matrix'!F$34*$AF$2),IF($C72="Bond",(('Demand Base Matrix'!F$55+'Demand Base Matrix'!F$59)*$AC$2*$AD$2*$AE$2+('Demand Base Matrix'!F$56+'Demand Base Matrix'!F$57)*$W$2*$AD$2+'Demand Base Matrix'!F$58*$W$2*$AD$2*$AE$2+'Demand Base Matrix'!F$60+'Demand Base Matrix'!F$61*$AF$2),IF($C72="Explore",('Demand Base Matrix'!F$82*$AC$2*$AD$2*$AE$2*$AF$2+'Demand Base Matrix'!F$83*$W$2*$AC$2*$AD$2*$AE$2*$AF$2+'Demand Base Matrix'!F$84)))))</f>
        <v>10</v>
      </c>
      <c r="AJ72">
        <f>IF($C72="Validate",(('Demand Base Matrix'!G$2+'Demand Base Matrix'!G$6)*$AC$2*$AD$2*$AE$2+('Demand Base Matrix'!G$3+'Demand Base Matrix'!G$4)*$W$2*$AD$2+'Demand Base Matrix'!G$5*$W$2*$AD$2*$AE$2+'Demand Base Matrix'!G$7+'Demand Base Matrix'!G$8*$AF$2),IF($C72="Integrate",(('Demand Base Matrix'!G$28+'Demand Base Matrix'!G$32)*$AC$2*$AD$2*$AE$2+('Demand Base Matrix'!G$29+'Demand Base Matrix'!G$30)*$W$2*$AD$2+'Demand Base Matrix'!G$31*$W$2*$AD$2*$AE$2+'Demand Base Matrix'!G$33+'Demand Base Matrix'!G$34*$AF$2),IF($C72="Bond",(('Demand Base Matrix'!G$55+'Demand Base Matrix'!G$59)*$AC$2*$AD$2*$AE$2+('Demand Base Matrix'!G$56+'Demand Base Matrix'!G$57)*$W$2*$AD$2+'Demand Base Matrix'!G$58*$W$2*$AD$2*$AE$2+'Demand Base Matrix'!G$60+'Demand Base Matrix'!G$61*$AF$2),IF($C72="Explore",('Demand Base Matrix'!G$82*$AC$2*$AD$2*$AE$2*$AF$2+'Demand Base Matrix'!G$83*$W$2*$AC$2*$AD$2*$AE$2*$AF$2+'Demand Base Matrix'!G$84)))))</f>
        <v>50</v>
      </c>
      <c r="AK72">
        <f>IF($C72="Validate",(('Demand Base Matrix'!H$2+'Demand Base Matrix'!H$6)*$AC$2*$AD$2*$AE$2+('Demand Base Matrix'!H$3+'Demand Base Matrix'!H$4)*$W$2*$AD$2+'Demand Base Matrix'!H$5*$W$2*$AD$2*$AE$2+'Demand Base Matrix'!H$7+'Demand Base Matrix'!H$8*$AF$2),IF($C72="Integrate",(('Demand Base Matrix'!H$28+'Demand Base Matrix'!H$32)*$AC$2*$AD$2*$AE$2+('Demand Base Matrix'!H$29+'Demand Base Matrix'!H$30)*$W$2*$AD$2+'Demand Base Matrix'!H$31*$W$2*$AD$2*$AE$2+'Demand Base Matrix'!H$33+'Demand Base Matrix'!H$34*$AF$2),IF($C72="Bond",(('Demand Base Matrix'!H$55+'Demand Base Matrix'!H$59)*$AC$2*$AD$2*$AE$2+('Demand Base Matrix'!H$56+'Demand Base Matrix'!H$57)*$W$2*$AD$2+'Demand Base Matrix'!H$58*$W$2*$AD$2*$AE$2+'Demand Base Matrix'!H$60+'Demand Base Matrix'!H$61*$AF$2),IF($C72="Explore",('Demand Base Matrix'!H$82*$AC$2*$AD$2*$AE$2*$AF$2+'Demand Base Matrix'!H$83*$W$2*$AC$2*$AD$2*$AE$2*$AF$2+'Demand Base Matrix'!H$84)))))</f>
        <v>28</v>
      </c>
      <c r="AL72">
        <f>IF($C72="Validate",(('Demand Base Matrix'!I$2+'Demand Base Matrix'!I$6)*$AC$2*$AD$2*$AE$2+('Demand Base Matrix'!I$3+'Demand Base Matrix'!I$4)*$W$2*$AD$2+'Demand Base Matrix'!I$5*$W$2*$AD$2*$AE$2+'Demand Base Matrix'!I$7+'Demand Base Matrix'!I$8*$AF$2),IF($C72="Integrate",(('Demand Base Matrix'!I$28+'Demand Base Matrix'!I$32)*$AC$2*$AD$2*$AE$2+('Demand Base Matrix'!I$29+'Demand Base Matrix'!I$30)*$W$2*$AD$2+'Demand Base Matrix'!I$31*$W$2*$AD$2*$AE$2+'Demand Base Matrix'!I$33+'Demand Base Matrix'!I$34*$AF$2),IF($C72="Bond",(('Demand Base Matrix'!I$55+'Demand Base Matrix'!I$59)*$AC$2*$AD$2*$AE$2+('Demand Base Matrix'!I$56+'Demand Base Matrix'!I$57)*$W$2*$AD$2+'Demand Base Matrix'!I$58*$W$2*$AD$2*$AE$2+'Demand Base Matrix'!I$60+'Demand Base Matrix'!I$61*$AF$2),IF($C72="Explore",('Demand Base Matrix'!I$82*$AC$2*$AD$2*$AE$2*$AF$2+'Demand Base Matrix'!I$83*$W$2*$AC$2*$AD$2*$AE$2*$AF$2+'Demand Base Matrix'!I$84)))))</f>
        <v>8</v>
      </c>
      <c r="AM72">
        <f>IF($C72="Validate",(('Demand Base Matrix'!J$2+'Demand Base Matrix'!J$6)*$AC$2*$AD$2*$AE$2+('Demand Base Matrix'!J$3+'Demand Base Matrix'!J$4)*$W$2*$AD$2+'Demand Base Matrix'!J$5*$W$2*$AD$2*$AE$2+'Demand Base Matrix'!J$7+'Demand Base Matrix'!J$8*$AF$2),IF($C72="Integrate",(('Demand Base Matrix'!J$28+'Demand Base Matrix'!J$32)*$AC$2*$AD$2*$AE$2+('Demand Base Matrix'!J$29+'Demand Base Matrix'!J$30)*$W$2*$AD$2+'Demand Base Matrix'!J$31*$W$2*$AD$2*$AE$2+'Demand Base Matrix'!J$33+'Demand Base Matrix'!J$34*$AF$2),IF($C72="Bond",(('Demand Base Matrix'!J$55+'Demand Base Matrix'!J$59)*$AC$2*$AD$2*$AE$2+('Demand Base Matrix'!J$56+'Demand Base Matrix'!J$57)*$W$2*$AD$2+'Demand Base Matrix'!J$58*$W$2*$AD$2*$AE$2+'Demand Base Matrix'!J$60+'Demand Base Matrix'!J$61*$AF$2),IF($C72="Explore",('Demand Base Matrix'!J$82*$AC$2*$AD$2*$AE$2*$AF$2+'Demand Base Matrix'!J$83*$W$2*$AC$2*$AD$2*$AE$2*$AF$2+'Demand Base Matrix'!J$84)))))</f>
        <v>8</v>
      </c>
    </row>
    <row r="73" spans="1:95" x14ac:dyDescent="0.2">
      <c r="A73" t="s">
        <v>782</v>
      </c>
      <c r="B73" t="s">
        <v>203</v>
      </c>
      <c r="C73" t="s">
        <v>23</v>
      </c>
      <c r="D73" t="s">
        <v>179</v>
      </c>
      <c r="E73" t="s">
        <v>207</v>
      </c>
      <c r="F73" t="s">
        <v>21</v>
      </c>
      <c r="I73" t="str">
        <f>IFERROR(INDEX('Customer 360'!F:F,MATCH(B73,'Customer 360'!A:A,0)),"-")</f>
        <v>D</v>
      </c>
      <c r="J73">
        <v>143</v>
      </c>
      <c r="K73"/>
      <c r="L73" s="4">
        <v>46196</v>
      </c>
      <c r="M73" s="4">
        <v>46196</v>
      </c>
      <c r="N73">
        <v>2026</v>
      </c>
      <c r="O73" s="4">
        <v>46023</v>
      </c>
      <c r="P73" t="s">
        <v>217</v>
      </c>
      <c r="Q73" s="18">
        <f t="shared" si="19"/>
        <v>46023</v>
      </c>
      <c r="R73" s="18">
        <f>IFERROR(IF(M73&lt;&gt;"",M73,IF(L73&lt;&gt;"",L73,INDEX('CSM RDD'!B:B,MATCH(B73,'CSM RDD'!A:A,0)))),"-")</f>
        <v>46196</v>
      </c>
      <c r="S73" s="18">
        <f t="shared" si="7"/>
        <v>46023</v>
      </c>
      <c r="T73" s="18">
        <f t="shared" si="8"/>
        <v>46174</v>
      </c>
      <c r="U73" s="6">
        <f t="shared" si="9"/>
        <v>143</v>
      </c>
      <c r="V73" s="18">
        <f t="shared" si="20"/>
        <v>46082</v>
      </c>
      <c r="W73">
        <f>IF(U73=0,1,IF(U73&lt;='Demand Base Matrix'!$K$3,'Demand Base Matrix'!$L$3,IF(U73&lt;='Demand Base Matrix'!$K$4,'Demand Base Matrix'!$L$4,IF(U73&lt;='Demand Base Matrix'!$K$5,'Demand Base Matrix'!$L$5,IF(U73&lt;='Demand Base Matrix'!$K$6,'Demand Base Matrix'!$L$6,IF(U73&lt;='Demand Base Matrix'!$K$7,'Demand Base Matrix'!$L$7))))))</f>
        <v>0.75</v>
      </c>
      <c r="X73" s="4">
        <f t="shared" si="10"/>
        <v>46174</v>
      </c>
      <c r="Y73" t="str">
        <f t="shared" si="11"/>
        <v>Dx</v>
      </c>
      <c r="Z73" t="s">
        <v>685</v>
      </c>
      <c r="AA73" t="s">
        <v>685</v>
      </c>
      <c r="AB73" t="s">
        <v>685</v>
      </c>
      <c r="AC73">
        <f>IFERROR(INDEX('Demand Base Matrix'!AM:AM,MATCH(Y73,'Demand Base Matrix'!AL:AL,0)),"-")</f>
        <v>1</v>
      </c>
      <c r="AD73">
        <f>IFERROR(INDEX('Demand Base Matrix'!AO:AO,MATCH(Z73,'Demand Base Matrix'!AN:AN,0)),1)</f>
        <v>1</v>
      </c>
      <c r="AE73">
        <f>IFERROR(INDEX('Demand Base Matrix'!AQ:AQ,MATCH(AA73,'Demand Base Matrix'!AP:AP,0)),1)</f>
        <v>1</v>
      </c>
      <c r="AF73">
        <f>IFERROR(INDEX('Demand Base Matrix'!AS:AS,MATCH(AB73,'Demand Base Matrix'!AR:AR,0)),1)</f>
        <v>1</v>
      </c>
      <c r="AG73">
        <f>IF($C73="Validate",(('Demand Base Matrix'!D$2+'Demand Base Matrix'!D$6)*$AC$2*$AD$2*$AE$2+('Demand Base Matrix'!D$3+'Demand Base Matrix'!D$4)*$W$2*$AD$2+'Demand Base Matrix'!D$5*$W$2*$AD$2*$AE$2+'Demand Base Matrix'!D$7+'Demand Base Matrix'!D$8*$AF$2),IF($C73="Integrate",(('Demand Base Matrix'!D$28+'Demand Base Matrix'!D$32)*$AC$2*$AD$2*$AE$2+('Demand Base Matrix'!D$29+'Demand Base Matrix'!D$30)*$W$2*$AD$2+'Demand Base Matrix'!D$31*$W$2*$AD$2*$AE$2+'Demand Base Matrix'!D$33+'Demand Base Matrix'!D$34*$AF$2),IF($C73="Bond",(('Demand Base Matrix'!D$55+'Demand Base Matrix'!D$59)*$AC$2*$AD$2*$AE$2+('Demand Base Matrix'!D$56+'Demand Base Matrix'!D$57)*$W$2*$AD$2+'Demand Base Matrix'!D$58*$W$2*$AD$2*$AE$2+'Demand Base Matrix'!D$60+'Demand Base Matrix'!D$61*$AF$2),IF($C73="Explore",('Demand Base Matrix'!D$82*$AC$2*$AD$2*$AE$2*$AF$2+'Demand Base Matrix'!D$83*$W$2*$AC$2*$AD$2*$AE$2*$AF$2+'Demand Base Matrix'!D$84)))))</f>
        <v>10</v>
      </c>
      <c r="AH73">
        <f>IF($C73="Validate",(('Demand Base Matrix'!E$2+'Demand Base Matrix'!E$6)*$AC$2*$AD$2*$AE$2+('Demand Base Matrix'!E$3+'Demand Base Matrix'!E$4)*$W$2*$AD$2+'Demand Base Matrix'!E$5*$W$2*$AD$2*$AE$2+'Demand Base Matrix'!E$7+'Demand Base Matrix'!E$8*$AF$2),IF($C73="Integrate",(('Demand Base Matrix'!E$28+'Demand Base Matrix'!E$32)*$AC$2*$AD$2*$AE$2+('Demand Base Matrix'!E$29+'Demand Base Matrix'!E$30)*$W$2*$AD$2+'Demand Base Matrix'!E$31*$W$2*$AD$2*$AE$2+'Demand Base Matrix'!E$33+'Demand Base Matrix'!E$34*$AF$2),IF($C73="Bond",(('Demand Base Matrix'!E$55+'Demand Base Matrix'!E$59)*$AC$2*$AD$2*$AE$2+('Demand Base Matrix'!E$56+'Demand Base Matrix'!E$57)*$W$2*$AD$2+'Demand Base Matrix'!E$58*$W$2*$AD$2*$AE$2+'Demand Base Matrix'!E$60+'Demand Base Matrix'!E$61*$AF$2),IF($C73="Explore",('Demand Base Matrix'!E$82*$AC$2*$AD$2*$AE$2*$AF$2+'Demand Base Matrix'!E$83*$W$2*$AC$2*$AD$2*$AE$2*$AF$2+'Demand Base Matrix'!E$84)))))</f>
        <v>10</v>
      </c>
      <c r="AI73">
        <f>IF($C73="Validate",(('Demand Base Matrix'!F$2+'Demand Base Matrix'!F$6)*$AC$2*$AD$2*$AE$2+('Demand Base Matrix'!F$3+'Demand Base Matrix'!F$4)*$W$2*$AD$2+'Demand Base Matrix'!F$5*$W$2*$AD$2*$AE$2+'Demand Base Matrix'!F$7+'Demand Base Matrix'!F$8*$AF$2),IF($C73="Integrate",(('Demand Base Matrix'!F$28+'Demand Base Matrix'!F$32)*$AC$2*$AD$2*$AE$2+('Demand Base Matrix'!F$29+'Demand Base Matrix'!F$30)*$W$2*$AD$2+'Demand Base Matrix'!F$31*$W$2*$AD$2*$AE$2+'Demand Base Matrix'!F$33+'Demand Base Matrix'!F$34*$AF$2),IF($C73="Bond",(('Demand Base Matrix'!F$55+'Demand Base Matrix'!F$59)*$AC$2*$AD$2*$AE$2+('Demand Base Matrix'!F$56+'Demand Base Matrix'!F$57)*$W$2*$AD$2+'Demand Base Matrix'!F$58*$W$2*$AD$2*$AE$2+'Demand Base Matrix'!F$60+'Demand Base Matrix'!F$61*$AF$2),IF($C73="Explore",('Demand Base Matrix'!F$82*$AC$2*$AD$2*$AE$2*$AF$2+'Demand Base Matrix'!F$83*$W$2*$AC$2*$AD$2*$AE$2*$AF$2+'Demand Base Matrix'!F$84)))))</f>
        <v>10</v>
      </c>
      <c r="AJ73">
        <f>IF($C73="Validate",(('Demand Base Matrix'!G$2+'Demand Base Matrix'!G$6)*$AC$2*$AD$2*$AE$2+('Demand Base Matrix'!G$3+'Demand Base Matrix'!G$4)*$W$2*$AD$2+'Demand Base Matrix'!G$5*$W$2*$AD$2*$AE$2+'Demand Base Matrix'!G$7+'Demand Base Matrix'!G$8*$AF$2),IF($C73="Integrate",(('Demand Base Matrix'!G$28+'Demand Base Matrix'!G$32)*$AC$2*$AD$2*$AE$2+('Demand Base Matrix'!G$29+'Demand Base Matrix'!G$30)*$W$2*$AD$2+'Demand Base Matrix'!G$31*$W$2*$AD$2*$AE$2+'Demand Base Matrix'!G$33+'Demand Base Matrix'!G$34*$AF$2),IF($C73="Bond",(('Demand Base Matrix'!G$55+'Demand Base Matrix'!G$59)*$AC$2*$AD$2*$AE$2+('Demand Base Matrix'!G$56+'Demand Base Matrix'!G$57)*$W$2*$AD$2+'Demand Base Matrix'!G$58*$W$2*$AD$2*$AE$2+'Demand Base Matrix'!G$60+'Demand Base Matrix'!G$61*$AF$2),IF($C73="Explore",('Demand Base Matrix'!G$82*$AC$2*$AD$2*$AE$2*$AF$2+'Demand Base Matrix'!G$83*$W$2*$AC$2*$AD$2*$AE$2*$AF$2+'Demand Base Matrix'!G$84)))))</f>
        <v>50</v>
      </c>
      <c r="AK73">
        <f>IF($C73="Validate",(('Demand Base Matrix'!H$2+'Demand Base Matrix'!H$6)*$AC$2*$AD$2*$AE$2+('Demand Base Matrix'!H$3+'Demand Base Matrix'!H$4)*$W$2*$AD$2+'Demand Base Matrix'!H$5*$W$2*$AD$2*$AE$2+'Demand Base Matrix'!H$7+'Demand Base Matrix'!H$8*$AF$2),IF($C73="Integrate",(('Demand Base Matrix'!H$28+'Demand Base Matrix'!H$32)*$AC$2*$AD$2*$AE$2+('Demand Base Matrix'!H$29+'Demand Base Matrix'!H$30)*$W$2*$AD$2+'Demand Base Matrix'!H$31*$W$2*$AD$2*$AE$2+'Demand Base Matrix'!H$33+'Demand Base Matrix'!H$34*$AF$2),IF($C73="Bond",(('Demand Base Matrix'!H$55+'Demand Base Matrix'!H$59)*$AC$2*$AD$2*$AE$2+('Demand Base Matrix'!H$56+'Demand Base Matrix'!H$57)*$W$2*$AD$2+'Demand Base Matrix'!H$58*$W$2*$AD$2*$AE$2+'Demand Base Matrix'!H$60+'Demand Base Matrix'!H$61*$AF$2),IF($C73="Explore",('Demand Base Matrix'!H$82*$AC$2*$AD$2*$AE$2*$AF$2+'Demand Base Matrix'!H$83*$W$2*$AC$2*$AD$2*$AE$2*$AF$2+'Demand Base Matrix'!H$84)))))</f>
        <v>28</v>
      </c>
      <c r="AL73">
        <f>IF($C73="Validate",(('Demand Base Matrix'!I$2+'Demand Base Matrix'!I$6)*$AC$2*$AD$2*$AE$2+('Demand Base Matrix'!I$3+'Demand Base Matrix'!I$4)*$W$2*$AD$2+'Demand Base Matrix'!I$5*$W$2*$AD$2*$AE$2+'Demand Base Matrix'!I$7+'Demand Base Matrix'!I$8*$AF$2),IF($C73="Integrate",(('Demand Base Matrix'!I$28+'Demand Base Matrix'!I$32)*$AC$2*$AD$2*$AE$2+('Demand Base Matrix'!I$29+'Demand Base Matrix'!I$30)*$W$2*$AD$2+'Demand Base Matrix'!I$31*$W$2*$AD$2*$AE$2+'Demand Base Matrix'!I$33+'Demand Base Matrix'!I$34*$AF$2),IF($C73="Bond",(('Demand Base Matrix'!I$55+'Demand Base Matrix'!I$59)*$AC$2*$AD$2*$AE$2+('Demand Base Matrix'!I$56+'Demand Base Matrix'!I$57)*$W$2*$AD$2+'Demand Base Matrix'!I$58*$W$2*$AD$2*$AE$2+'Demand Base Matrix'!I$60+'Demand Base Matrix'!I$61*$AF$2),IF($C73="Explore",('Demand Base Matrix'!I$82*$AC$2*$AD$2*$AE$2*$AF$2+'Demand Base Matrix'!I$83*$W$2*$AC$2*$AD$2*$AE$2*$AF$2+'Demand Base Matrix'!I$84)))))</f>
        <v>8</v>
      </c>
      <c r="AM73">
        <f>IF($C73="Validate",(('Demand Base Matrix'!J$2+'Demand Base Matrix'!J$6)*$AC$2*$AD$2*$AE$2+('Demand Base Matrix'!J$3+'Demand Base Matrix'!J$4)*$W$2*$AD$2+'Demand Base Matrix'!J$5*$W$2*$AD$2*$AE$2+'Demand Base Matrix'!J$7+'Demand Base Matrix'!J$8*$AF$2),IF($C73="Integrate",(('Demand Base Matrix'!J$28+'Demand Base Matrix'!J$32)*$AC$2*$AD$2*$AE$2+('Demand Base Matrix'!J$29+'Demand Base Matrix'!J$30)*$W$2*$AD$2+'Demand Base Matrix'!J$31*$W$2*$AD$2*$AE$2+'Demand Base Matrix'!J$33+'Demand Base Matrix'!J$34*$AF$2),IF($C73="Bond",(('Demand Base Matrix'!J$55+'Demand Base Matrix'!J$59)*$AC$2*$AD$2*$AE$2+('Demand Base Matrix'!J$56+'Demand Base Matrix'!J$57)*$W$2*$AD$2+'Demand Base Matrix'!J$58*$W$2*$AD$2*$AE$2+'Demand Base Matrix'!J$60+'Demand Base Matrix'!J$61*$AF$2),IF($C73="Explore",('Demand Base Matrix'!J$82*$AC$2*$AD$2*$AE$2*$AF$2+'Demand Base Matrix'!J$83*$W$2*$AC$2*$AD$2*$AE$2*$AF$2+'Demand Base Matrix'!J$84)))))</f>
        <v>8</v>
      </c>
    </row>
    <row r="74" spans="1:95" x14ac:dyDescent="0.2">
      <c r="A74" t="s">
        <v>783</v>
      </c>
      <c r="B74" t="s">
        <v>209</v>
      </c>
      <c r="C74" t="s">
        <v>20</v>
      </c>
      <c r="D74" t="s">
        <v>179</v>
      </c>
      <c r="E74" t="s">
        <v>222</v>
      </c>
      <c r="F74" t="s">
        <v>21</v>
      </c>
      <c r="I74" t="str">
        <f>IFERROR(INDEX('Customer 360'!F:F,MATCH(B74,'Customer 360'!A:A,0)),"-")</f>
        <v>C</v>
      </c>
      <c r="J74">
        <v>250</v>
      </c>
      <c r="K74"/>
      <c r="L74" s="4">
        <v>46142</v>
      </c>
      <c r="M74" s="4">
        <v>46155</v>
      </c>
      <c r="N74">
        <v>2026</v>
      </c>
      <c r="O74" s="4">
        <v>46023</v>
      </c>
      <c r="P74" t="s">
        <v>217</v>
      </c>
      <c r="Q74" s="18">
        <f t="shared" si="19"/>
        <v>46023</v>
      </c>
      <c r="R74" s="18">
        <f>IFERROR(IF(M74&lt;&gt;"",M74,IF(L74&lt;&gt;"",L74,INDEX('CSM RDD'!B:B,MATCH(B74,'CSM RDD'!A:A,0)))),"-")</f>
        <v>46155</v>
      </c>
      <c r="S74" s="18">
        <f t="shared" si="7"/>
        <v>46023</v>
      </c>
      <c r="T74" s="18">
        <f t="shared" si="8"/>
        <v>46143</v>
      </c>
      <c r="U74" s="6">
        <f t="shared" si="9"/>
        <v>250</v>
      </c>
      <c r="V74" s="18">
        <f t="shared" si="20"/>
        <v>46023</v>
      </c>
      <c r="W74">
        <f>IF(U74=0,1,IF(U74&lt;='Demand Base Matrix'!$K$3,'Demand Base Matrix'!$L$3,IF(U74&lt;='Demand Base Matrix'!$K$4,'Demand Base Matrix'!$L$4,IF(U74&lt;='Demand Base Matrix'!$K$5,'Demand Base Matrix'!$L$5,IF(U74&lt;='Demand Base Matrix'!$K$6,'Demand Base Matrix'!$L$6,IF(U74&lt;='Demand Base Matrix'!$K$7,'Demand Base Matrix'!$L$7))))))</f>
        <v>0.75</v>
      </c>
      <c r="X74" s="4">
        <f t="shared" si="10"/>
        <v>46143</v>
      </c>
      <c r="Y74" t="str">
        <f t="shared" si="11"/>
        <v>Dx</v>
      </c>
      <c r="Z74" t="s">
        <v>685</v>
      </c>
      <c r="AA74" t="s">
        <v>685</v>
      </c>
      <c r="AB74" t="s">
        <v>685</v>
      </c>
      <c r="AC74">
        <f>IFERROR(INDEX('Demand Base Matrix'!AM:AM,MATCH(Y74,'Demand Base Matrix'!AL:AL,0)),"-")</f>
        <v>1</v>
      </c>
      <c r="AD74">
        <f>IFERROR(INDEX('Demand Base Matrix'!AO:AO,MATCH(Z74,'Demand Base Matrix'!AN:AN,0)),1)</f>
        <v>1</v>
      </c>
      <c r="AE74">
        <f>IFERROR(INDEX('Demand Base Matrix'!AQ:AQ,MATCH(AA74,'Demand Base Matrix'!AP:AP,0)),1)</f>
        <v>1</v>
      </c>
      <c r="AF74">
        <f>IFERROR(INDEX('Demand Base Matrix'!AS:AS,MATCH(AB74,'Demand Base Matrix'!AR:AR,0)),1)</f>
        <v>1</v>
      </c>
      <c r="AG74">
        <f>IF($C74="Validate",(('Demand Base Matrix'!D$2+'Demand Base Matrix'!D$6)*$AC$2*$AD$2*$AE$2+('Demand Base Matrix'!D$3+'Demand Base Matrix'!D$4)*$W$2*$AD$2+'Demand Base Matrix'!D$5*$W$2*$AD$2*$AE$2+'Demand Base Matrix'!D$7+'Demand Base Matrix'!D$8*$AF$2),IF($C74="Integrate",(('Demand Base Matrix'!D$28+'Demand Base Matrix'!D$32)*$AC$2*$AD$2*$AE$2+('Demand Base Matrix'!D$29+'Demand Base Matrix'!D$30)*$W$2*$AD$2+'Demand Base Matrix'!D$31*$W$2*$AD$2*$AE$2+'Demand Base Matrix'!D$33+'Demand Base Matrix'!D$34*$AF$2),IF($C74="Bond",(('Demand Base Matrix'!D$55+'Demand Base Matrix'!D$59)*$AC$2*$AD$2*$AE$2+('Demand Base Matrix'!D$56+'Demand Base Matrix'!D$57)*$W$2*$AD$2+'Demand Base Matrix'!D$58*$W$2*$AD$2*$AE$2+'Demand Base Matrix'!D$60+'Demand Base Matrix'!D$61*$AF$2),IF($C74="Explore",('Demand Base Matrix'!D$82*$AC$2*$AD$2*$AE$2*$AF$2+'Demand Base Matrix'!D$83*$W$2*$AC$2*$AD$2*$AE$2*$AF$2+'Demand Base Matrix'!D$84)))))</f>
        <v>15</v>
      </c>
      <c r="AH74">
        <f>IF($C74="Validate",(('Demand Base Matrix'!E$2+'Demand Base Matrix'!E$6)*$AC$2*$AD$2*$AE$2+('Demand Base Matrix'!E$3+'Demand Base Matrix'!E$4)*$W$2*$AD$2+'Demand Base Matrix'!E$5*$W$2*$AD$2*$AE$2+'Demand Base Matrix'!E$7+'Demand Base Matrix'!E$8*$AF$2),IF($C74="Integrate",(('Demand Base Matrix'!E$28+'Demand Base Matrix'!E$32)*$AC$2*$AD$2*$AE$2+('Demand Base Matrix'!E$29+'Demand Base Matrix'!E$30)*$W$2*$AD$2+'Demand Base Matrix'!E$31*$W$2*$AD$2*$AE$2+'Demand Base Matrix'!E$33+'Demand Base Matrix'!E$34*$AF$2),IF($C74="Bond",(('Demand Base Matrix'!E$55+'Demand Base Matrix'!E$59)*$AC$2*$AD$2*$AE$2+('Demand Base Matrix'!E$56+'Demand Base Matrix'!E$57)*$W$2*$AD$2+'Demand Base Matrix'!E$58*$W$2*$AD$2*$AE$2+'Demand Base Matrix'!E$60+'Demand Base Matrix'!E$61*$AF$2),IF($C74="Explore",('Demand Base Matrix'!E$82*$AC$2*$AD$2*$AE$2*$AF$2+'Demand Base Matrix'!E$83*$W$2*$AC$2*$AD$2*$AE$2*$AF$2+'Demand Base Matrix'!E$84)))))</f>
        <v>15</v>
      </c>
      <c r="AI74">
        <f>IF($C74="Validate",(('Demand Base Matrix'!F$2+'Demand Base Matrix'!F$6)*$AC$2*$AD$2*$AE$2+('Demand Base Matrix'!F$3+'Demand Base Matrix'!F$4)*$W$2*$AD$2+'Demand Base Matrix'!F$5*$W$2*$AD$2*$AE$2+'Demand Base Matrix'!F$7+'Demand Base Matrix'!F$8*$AF$2),IF($C74="Integrate",(('Demand Base Matrix'!F$28+'Demand Base Matrix'!F$32)*$AC$2*$AD$2*$AE$2+('Demand Base Matrix'!F$29+'Demand Base Matrix'!F$30)*$W$2*$AD$2+'Demand Base Matrix'!F$31*$W$2*$AD$2*$AE$2+'Demand Base Matrix'!F$33+'Demand Base Matrix'!F$34*$AF$2),IF($C74="Bond",(('Demand Base Matrix'!F$55+'Demand Base Matrix'!F$59)*$AC$2*$AD$2*$AE$2+('Demand Base Matrix'!F$56+'Demand Base Matrix'!F$57)*$W$2*$AD$2+'Demand Base Matrix'!F$58*$W$2*$AD$2*$AE$2+'Demand Base Matrix'!F$60+'Demand Base Matrix'!F$61*$AF$2),IF($C74="Explore",('Demand Base Matrix'!F$82*$AC$2*$AD$2*$AE$2*$AF$2+'Demand Base Matrix'!F$83*$W$2*$AC$2*$AD$2*$AE$2*$AF$2+'Demand Base Matrix'!F$84)))))</f>
        <v>7</v>
      </c>
      <c r="AJ74">
        <f>IF($C74="Validate",(('Demand Base Matrix'!G$2+'Demand Base Matrix'!G$6)*$AC$2*$AD$2*$AE$2+('Demand Base Matrix'!G$3+'Demand Base Matrix'!G$4)*$W$2*$AD$2+'Demand Base Matrix'!G$5*$W$2*$AD$2*$AE$2+'Demand Base Matrix'!G$7+'Demand Base Matrix'!G$8*$AF$2),IF($C74="Integrate",(('Demand Base Matrix'!G$28+'Demand Base Matrix'!G$32)*$AC$2*$AD$2*$AE$2+('Demand Base Matrix'!G$29+'Demand Base Matrix'!G$30)*$W$2*$AD$2+'Demand Base Matrix'!G$31*$W$2*$AD$2*$AE$2+'Demand Base Matrix'!G$33+'Demand Base Matrix'!G$34*$AF$2),IF($C74="Bond",(('Demand Base Matrix'!G$55+'Demand Base Matrix'!G$59)*$AC$2*$AD$2*$AE$2+('Demand Base Matrix'!G$56+'Demand Base Matrix'!G$57)*$W$2*$AD$2+'Demand Base Matrix'!G$58*$W$2*$AD$2*$AE$2+'Demand Base Matrix'!G$60+'Demand Base Matrix'!G$61*$AF$2),IF($C74="Explore",('Demand Base Matrix'!G$82*$AC$2*$AD$2*$AE$2*$AF$2+'Demand Base Matrix'!G$83*$W$2*$AC$2*$AD$2*$AE$2*$AF$2+'Demand Base Matrix'!G$84)))))</f>
        <v>40</v>
      </c>
      <c r="AK74">
        <f>IF($C74="Validate",(('Demand Base Matrix'!H$2+'Demand Base Matrix'!H$6)*$AC$2*$AD$2*$AE$2+('Demand Base Matrix'!H$3+'Demand Base Matrix'!H$4)*$W$2*$AD$2+'Demand Base Matrix'!H$5*$W$2*$AD$2*$AE$2+'Demand Base Matrix'!H$7+'Demand Base Matrix'!H$8*$AF$2),IF($C74="Integrate",(('Demand Base Matrix'!H$28+'Demand Base Matrix'!H$32)*$AC$2*$AD$2*$AE$2+('Demand Base Matrix'!H$29+'Demand Base Matrix'!H$30)*$W$2*$AD$2+'Demand Base Matrix'!H$31*$W$2*$AD$2*$AE$2+'Demand Base Matrix'!H$33+'Demand Base Matrix'!H$34*$AF$2),IF($C74="Bond",(('Demand Base Matrix'!H$55+'Demand Base Matrix'!H$59)*$AC$2*$AD$2*$AE$2+('Demand Base Matrix'!H$56+'Demand Base Matrix'!H$57)*$W$2*$AD$2+'Demand Base Matrix'!H$58*$W$2*$AD$2*$AE$2+'Demand Base Matrix'!H$60+'Demand Base Matrix'!H$61*$AF$2),IF($C74="Explore",('Demand Base Matrix'!H$82*$AC$2*$AD$2*$AE$2*$AF$2+'Demand Base Matrix'!H$83*$W$2*$AC$2*$AD$2*$AE$2*$AF$2+'Demand Base Matrix'!H$84)))))</f>
        <v>60</v>
      </c>
      <c r="AL74">
        <f>IF($C74="Validate",(('Demand Base Matrix'!I$2+'Demand Base Matrix'!I$6)*$AC$2*$AD$2*$AE$2+('Demand Base Matrix'!I$3+'Demand Base Matrix'!I$4)*$W$2*$AD$2+'Demand Base Matrix'!I$5*$W$2*$AD$2*$AE$2+'Demand Base Matrix'!I$7+'Demand Base Matrix'!I$8*$AF$2),IF($C74="Integrate",(('Demand Base Matrix'!I$28+'Demand Base Matrix'!I$32)*$AC$2*$AD$2*$AE$2+('Demand Base Matrix'!I$29+'Demand Base Matrix'!I$30)*$W$2*$AD$2+'Demand Base Matrix'!I$31*$W$2*$AD$2*$AE$2+'Demand Base Matrix'!I$33+'Demand Base Matrix'!I$34*$AF$2),IF($C74="Bond",(('Demand Base Matrix'!I$55+'Demand Base Matrix'!I$59)*$AC$2*$AD$2*$AE$2+('Demand Base Matrix'!I$56+'Demand Base Matrix'!I$57)*$W$2*$AD$2+'Demand Base Matrix'!I$58*$W$2*$AD$2*$AE$2+'Demand Base Matrix'!I$60+'Demand Base Matrix'!I$61*$AF$2),IF($C74="Explore",('Demand Base Matrix'!I$82*$AC$2*$AD$2*$AE$2*$AF$2+'Demand Base Matrix'!I$83*$W$2*$AC$2*$AD$2*$AE$2*$AF$2+'Demand Base Matrix'!I$84)))))</f>
        <v>10</v>
      </c>
      <c r="AM74">
        <f>IF($C74="Validate",(('Demand Base Matrix'!J$2+'Demand Base Matrix'!J$6)*$AC$2*$AD$2*$AE$2+('Demand Base Matrix'!J$3+'Demand Base Matrix'!J$4)*$W$2*$AD$2+'Demand Base Matrix'!J$5*$W$2*$AD$2*$AE$2+'Demand Base Matrix'!J$7+'Demand Base Matrix'!J$8*$AF$2),IF($C74="Integrate",(('Demand Base Matrix'!J$28+'Demand Base Matrix'!J$32)*$AC$2*$AD$2*$AE$2+('Demand Base Matrix'!J$29+'Demand Base Matrix'!J$30)*$W$2*$AD$2+'Demand Base Matrix'!J$31*$W$2*$AD$2*$AE$2+'Demand Base Matrix'!J$33+'Demand Base Matrix'!J$34*$AF$2),IF($C74="Bond",(('Demand Base Matrix'!J$55+'Demand Base Matrix'!J$59)*$AC$2*$AD$2*$AE$2+('Demand Base Matrix'!J$56+'Demand Base Matrix'!J$57)*$W$2*$AD$2+'Demand Base Matrix'!J$58*$W$2*$AD$2*$AE$2+'Demand Base Matrix'!J$60+'Demand Base Matrix'!J$61*$AF$2),IF($C74="Explore",('Demand Base Matrix'!J$82*$AC$2*$AD$2*$AE$2*$AF$2+'Demand Base Matrix'!J$83*$W$2*$AC$2*$AD$2*$AE$2*$AF$2+'Demand Base Matrix'!J$84)))))</f>
        <v>4</v>
      </c>
    </row>
    <row r="75" spans="1:95" x14ac:dyDescent="0.2">
      <c r="A75" t="s">
        <v>784</v>
      </c>
      <c r="B75" t="s">
        <v>204</v>
      </c>
      <c r="C75" t="s">
        <v>23</v>
      </c>
      <c r="D75" t="s">
        <v>53</v>
      </c>
      <c r="E75" t="s">
        <v>118</v>
      </c>
      <c r="F75" t="s">
        <v>198</v>
      </c>
      <c r="I75" t="str">
        <f>IFERROR(INDEX('Customer 360'!F:F,MATCH(B75,'Customer 360'!A:A,0)),"-")</f>
        <v>A</v>
      </c>
      <c r="J75">
        <v>5000</v>
      </c>
      <c r="K75">
        <v>265</v>
      </c>
      <c r="L75" s="4">
        <v>46296</v>
      </c>
      <c r="M75" s="4">
        <v>46296</v>
      </c>
      <c r="N75">
        <v>2026</v>
      </c>
      <c r="O75" s="4">
        <v>45901</v>
      </c>
      <c r="P75" t="s">
        <v>217</v>
      </c>
      <c r="Q75" s="18">
        <f t="shared" si="19"/>
        <v>45901</v>
      </c>
      <c r="R75" s="18">
        <f>IFERROR(IF(M75&lt;&gt;"",M75,IF(L75&lt;&gt;"",L75,INDEX('CSM RDD'!B:B,MATCH(B75,'CSM RDD'!A:A,0)))),"-")</f>
        <v>46296</v>
      </c>
      <c r="S75" s="18">
        <f t="shared" si="7"/>
        <v>45901</v>
      </c>
      <c r="T75" s="18">
        <f t="shared" si="8"/>
        <v>46296</v>
      </c>
      <c r="U75" s="6">
        <f t="shared" si="9"/>
        <v>5265</v>
      </c>
      <c r="V75" s="18">
        <f t="shared" si="20"/>
        <v>46082</v>
      </c>
      <c r="W75">
        <f>IF(U75=0,1,IF(U75&lt;='Demand Base Matrix'!$K$3,'Demand Base Matrix'!$L$3,IF(U75&lt;='Demand Base Matrix'!$K$4,'Demand Base Matrix'!$L$4,IF(U75&lt;='Demand Base Matrix'!$K$5,'Demand Base Matrix'!$L$5,IF(U75&lt;='Demand Base Matrix'!$K$6,'Demand Base Matrix'!$L$6,IF(U75&lt;='Demand Base Matrix'!$K$7,'Demand Base Matrix'!$L$7))))))</f>
        <v>1.25</v>
      </c>
      <c r="X75" s="4">
        <f t="shared" si="10"/>
        <v>46296</v>
      </c>
      <c r="Y75" t="str">
        <f t="shared" si="11"/>
        <v>Tx</v>
      </c>
      <c r="Z75" t="s">
        <v>685</v>
      </c>
      <c r="AA75" t="s">
        <v>685</v>
      </c>
      <c r="AB75" t="s">
        <v>685</v>
      </c>
      <c r="AC75">
        <f>IFERROR(INDEX('Demand Base Matrix'!AM:AM,MATCH(Y75,'Demand Base Matrix'!AL:AL,0)),"-")</f>
        <v>1.5</v>
      </c>
      <c r="AD75">
        <f>IFERROR(INDEX('Demand Base Matrix'!AO:AO,MATCH(Z75,'Demand Base Matrix'!AN:AN,0)),1)</f>
        <v>1</v>
      </c>
      <c r="AE75">
        <f>IFERROR(INDEX('Demand Base Matrix'!AQ:AQ,MATCH(AA75,'Demand Base Matrix'!AP:AP,0)),1)</f>
        <v>1</v>
      </c>
      <c r="AF75">
        <f>IFERROR(INDEX('Demand Base Matrix'!AS:AS,MATCH(AB75,'Demand Base Matrix'!AR:AR,0)),1)</f>
        <v>1</v>
      </c>
      <c r="AG75">
        <f>IF($C75="Validate",(('Demand Base Matrix'!D$2+'Demand Base Matrix'!D$6)*$AC$2*$AD$2*$AE$2+('Demand Base Matrix'!D$3+'Demand Base Matrix'!D$4)*$W$2*$AD$2+'Demand Base Matrix'!D$5*$W$2*$AD$2*$AE$2+'Demand Base Matrix'!D$7+'Demand Base Matrix'!D$8*$AF$2),IF($C75="Integrate",(('Demand Base Matrix'!D$28+'Demand Base Matrix'!D$32)*$AC$2*$AD$2*$AE$2+('Demand Base Matrix'!D$29+'Demand Base Matrix'!D$30)*$W$2*$AD$2+'Demand Base Matrix'!D$31*$W$2*$AD$2*$AE$2+'Demand Base Matrix'!D$33+'Demand Base Matrix'!D$34*$AF$2),IF($C75="Bond",(('Demand Base Matrix'!D$55+'Demand Base Matrix'!D$59)*$AC$2*$AD$2*$AE$2+('Demand Base Matrix'!D$56+'Demand Base Matrix'!D$57)*$W$2*$AD$2+'Demand Base Matrix'!D$58*$W$2*$AD$2*$AE$2+'Demand Base Matrix'!D$60+'Demand Base Matrix'!D$61*$AF$2),IF($C75="Explore",('Demand Base Matrix'!D$82*$AC$2*$AD$2*$AE$2*$AF$2+'Demand Base Matrix'!D$83*$W$2*$AC$2*$AD$2*$AE$2*$AF$2+'Demand Base Matrix'!D$84)))))</f>
        <v>10</v>
      </c>
      <c r="AH75">
        <f>IF($C75="Validate",(('Demand Base Matrix'!E$2+'Demand Base Matrix'!E$6)*$AC$2*$AD$2*$AE$2+('Demand Base Matrix'!E$3+'Demand Base Matrix'!E$4)*$W$2*$AD$2+'Demand Base Matrix'!E$5*$W$2*$AD$2*$AE$2+'Demand Base Matrix'!E$7+'Demand Base Matrix'!E$8*$AF$2),IF($C75="Integrate",(('Demand Base Matrix'!E$28+'Demand Base Matrix'!E$32)*$AC$2*$AD$2*$AE$2+('Demand Base Matrix'!E$29+'Demand Base Matrix'!E$30)*$W$2*$AD$2+'Demand Base Matrix'!E$31*$W$2*$AD$2*$AE$2+'Demand Base Matrix'!E$33+'Demand Base Matrix'!E$34*$AF$2),IF($C75="Bond",(('Demand Base Matrix'!E$55+'Demand Base Matrix'!E$59)*$AC$2*$AD$2*$AE$2+('Demand Base Matrix'!E$56+'Demand Base Matrix'!E$57)*$W$2*$AD$2+'Demand Base Matrix'!E$58*$W$2*$AD$2*$AE$2+'Demand Base Matrix'!E$60+'Demand Base Matrix'!E$61*$AF$2),IF($C75="Explore",('Demand Base Matrix'!E$82*$AC$2*$AD$2*$AE$2*$AF$2+'Demand Base Matrix'!E$83*$W$2*$AC$2*$AD$2*$AE$2*$AF$2+'Demand Base Matrix'!E$84)))))</f>
        <v>10</v>
      </c>
      <c r="AI75">
        <f>IF($C75="Validate",(('Demand Base Matrix'!F$2+'Demand Base Matrix'!F$6)*$AC$2*$AD$2*$AE$2+('Demand Base Matrix'!F$3+'Demand Base Matrix'!F$4)*$W$2*$AD$2+'Demand Base Matrix'!F$5*$W$2*$AD$2*$AE$2+'Demand Base Matrix'!F$7+'Demand Base Matrix'!F$8*$AF$2),IF($C75="Integrate",(('Demand Base Matrix'!F$28+'Demand Base Matrix'!F$32)*$AC$2*$AD$2*$AE$2+('Demand Base Matrix'!F$29+'Demand Base Matrix'!F$30)*$W$2*$AD$2+'Demand Base Matrix'!F$31*$W$2*$AD$2*$AE$2+'Demand Base Matrix'!F$33+'Demand Base Matrix'!F$34*$AF$2),IF($C75="Bond",(('Demand Base Matrix'!F$55+'Demand Base Matrix'!F$59)*$AC$2*$AD$2*$AE$2+('Demand Base Matrix'!F$56+'Demand Base Matrix'!F$57)*$W$2*$AD$2+'Demand Base Matrix'!F$58*$W$2*$AD$2*$AE$2+'Demand Base Matrix'!F$60+'Demand Base Matrix'!F$61*$AF$2),IF($C75="Explore",('Demand Base Matrix'!F$82*$AC$2*$AD$2*$AE$2*$AF$2+'Demand Base Matrix'!F$83*$W$2*$AC$2*$AD$2*$AE$2*$AF$2+'Demand Base Matrix'!F$84)))))</f>
        <v>10</v>
      </c>
      <c r="AJ75">
        <f>IF($C75="Validate",(('Demand Base Matrix'!G$2+'Demand Base Matrix'!G$6)*$AC$2*$AD$2*$AE$2+('Demand Base Matrix'!G$3+'Demand Base Matrix'!G$4)*$W$2*$AD$2+'Demand Base Matrix'!G$5*$W$2*$AD$2*$AE$2+'Demand Base Matrix'!G$7+'Demand Base Matrix'!G$8*$AF$2),IF($C75="Integrate",(('Demand Base Matrix'!G$28+'Demand Base Matrix'!G$32)*$AC$2*$AD$2*$AE$2+('Demand Base Matrix'!G$29+'Demand Base Matrix'!G$30)*$W$2*$AD$2+'Demand Base Matrix'!G$31*$W$2*$AD$2*$AE$2+'Demand Base Matrix'!G$33+'Demand Base Matrix'!G$34*$AF$2),IF($C75="Bond",(('Demand Base Matrix'!G$55+'Demand Base Matrix'!G$59)*$AC$2*$AD$2*$AE$2+('Demand Base Matrix'!G$56+'Demand Base Matrix'!G$57)*$W$2*$AD$2+'Demand Base Matrix'!G$58*$W$2*$AD$2*$AE$2+'Demand Base Matrix'!G$60+'Demand Base Matrix'!G$61*$AF$2),IF($C75="Explore",('Demand Base Matrix'!G$82*$AC$2*$AD$2*$AE$2*$AF$2+'Demand Base Matrix'!G$83*$W$2*$AC$2*$AD$2*$AE$2*$AF$2+'Demand Base Matrix'!G$84)))))</f>
        <v>50</v>
      </c>
      <c r="AK75">
        <f>IF($C75="Validate",(('Demand Base Matrix'!H$2+'Demand Base Matrix'!H$6)*$AC$2*$AD$2*$AE$2+('Demand Base Matrix'!H$3+'Demand Base Matrix'!H$4)*$W$2*$AD$2+'Demand Base Matrix'!H$5*$W$2*$AD$2*$AE$2+'Demand Base Matrix'!H$7+'Demand Base Matrix'!H$8*$AF$2),IF($C75="Integrate",(('Demand Base Matrix'!H$28+'Demand Base Matrix'!H$32)*$AC$2*$AD$2*$AE$2+('Demand Base Matrix'!H$29+'Demand Base Matrix'!H$30)*$W$2*$AD$2+'Demand Base Matrix'!H$31*$W$2*$AD$2*$AE$2+'Demand Base Matrix'!H$33+'Demand Base Matrix'!H$34*$AF$2),IF($C75="Bond",(('Demand Base Matrix'!H$55+'Demand Base Matrix'!H$59)*$AC$2*$AD$2*$AE$2+('Demand Base Matrix'!H$56+'Demand Base Matrix'!H$57)*$W$2*$AD$2+'Demand Base Matrix'!H$58*$W$2*$AD$2*$AE$2+'Demand Base Matrix'!H$60+'Demand Base Matrix'!H$61*$AF$2),IF($C75="Explore",('Demand Base Matrix'!H$82*$AC$2*$AD$2*$AE$2*$AF$2+'Demand Base Matrix'!H$83*$W$2*$AC$2*$AD$2*$AE$2*$AF$2+'Demand Base Matrix'!H$84)))))</f>
        <v>28</v>
      </c>
      <c r="AL75">
        <f>IF($C75="Validate",(('Demand Base Matrix'!I$2+'Demand Base Matrix'!I$6)*$AC$2*$AD$2*$AE$2+('Demand Base Matrix'!I$3+'Demand Base Matrix'!I$4)*$W$2*$AD$2+'Demand Base Matrix'!I$5*$W$2*$AD$2*$AE$2+'Demand Base Matrix'!I$7+'Demand Base Matrix'!I$8*$AF$2),IF($C75="Integrate",(('Demand Base Matrix'!I$28+'Demand Base Matrix'!I$32)*$AC$2*$AD$2*$AE$2+('Demand Base Matrix'!I$29+'Demand Base Matrix'!I$30)*$W$2*$AD$2+'Demand Base Matrix'!I$31*$W$2*$AD$2*$AE$2+'Demand Base Matrix'!I$33+'Demand Base Matrix'!I$34*$AF$2),IF($C75="Bond",(('Demand Base Matrix'!I$55+'Demand Base Matrix'!I$59)*$AC$2*$AD$2*$AE$2+('Demand Base Matrix'!I$56+'Demand Base Matrix'!I$57)*$W$2*$AD$2+'Demand Base Matrix'!I$58*$W$2*$AD$2*$AE$2+'Demand Base Matrix'!I$60+'Demand Base Matrix'!I$61*$AF$2),IF($C75="Explore",('Demand Base Matrix'!I$82*$AC$2*$AD$2*$AE$2*$AF$2+'Demand Base Matrix'!I$83*$W$2*$AC$2*$AD$2*$AE$2*$AF$2+'Demand Base Matrix'!I$84)))))</f>
        <v>8</v>
      </c>
      <c r="AM75">
        <f>IF($C75="Validate",(('Demand Base Matrix'!J$2+'Demand Base Matrix'!J$6)*$AC$2*$AD$2*$AE$2+('Demand Base Matrix'!J$3+'Demand Base Matrix'!J$4)*$W$2*$AD$2+'Demand Base Matrix'!J$5*$W$2*$AD$2*$AE$2+'Demand Base Matrix'!J$7+'Demand Base Matrix'!J$8*$AF$2),IF($C75="Integrate",(('Demand Base Matrix'!J$28+'Demand Base Matrix'!J$32)*$AC$2*$AD$2*$AE$2+('Demand Base Matrix'!J$29+'Demand Base Matrix'!J$30)*$W$2*$AD$2+'Demand Base Matrix'!J$31*$W$2*$AD$2*$AE$2+'Demand Base Matrix'!J$33+'Demand Base Matrix'!J$34*$AF$2),IF($C75="Bond",(('Demand Base Matrix'!J$55+'Demand Base Matrix'!J$59)*$AC$2*$AD$2*$AE$2+('Demand Base Matrix'!J$56+'Demand Base Matrix'!J$57)*$W$2*$AD$2+'Demand Base Matrix'!J$58*$W$2*$AD$2*$AE$2+'Demand Base Matrix'!J$60+'Demand Base Matrix'!J$61*$AF$2),IF($C75="Explore",('Demand Base Matrix'!J$82*$AC$2*$AD$2*$AE$2*$AF$2+'Demand Base Matrix'!J$83*$W$2*$AC$2*$AD$2*$AE$2*$AF$2+'Demand Base Matrix'!J$84)))))</f>
        <v>8</v>
      </c>
    </row>
    <row r="76" spans="1:95" x14ac:dyDescent="0.2">
      <c r="A76" t="s">
        <v>785</v>
      </c>
      <c r="B76" t="s">
        <v>98</v>
      </c>
      <c r="C76" t="s">
        <v>23</v>
      </c>
      <c r="D76" t="s">
        <v>178</v>
      </c>
      <c r="E76" t="s">
        <v>699</v>
      </c>
      <c r="F76" t="s">
        <v>93</v>
      </c>
      <c r="I76" t="str">
        <f>IFERROR(INDEX('Customer 360'!F:F,MATCH(B76,'Customer 360'!A:A,0)),"-")</f>
        <v>D</v>
      </c>
      <c r="J76">
        <v>2230</v>
      </c>
      <c r="K76"/>
      <c r="L76" s="4">
        <v>46254</v>
      </c>
      <c r="M76" s="4">
        <v>46254</v>
      </c>
      <c r="N76">
        <v>2026</v>
      </c>
      <c r="O76" s="4">
        <v>46023</v>
      </c>
      <c r="P76" t="s">
        <v>217</v>
      </c>
      <c r="Q76" s="18">
        <f t="shared" si="19"/>
        <v>46023</v>
      </c>
      <c r="R76" s="18">
        <f>IFERROR(IF(M76&lt;&gt;"",M76,IF(L76&lt;&gt;"",L76,INDEX('CSM RDD'!B:B,MATCH(B76,'CSM RDD'!A:A,0)))),"-")</f>
        <v>46254</v>
      </c>
      <c r="S76" s="18">
        <f t="shared" si="7"/>
        <v>46023</v>
      </c>
      <c r="T76" s="18">
        <f t="shared" si="8"/>
        <v>46235</v>
      </c>
      <c r="U76" s="6">
        <f t="shared" si="9"/>
        <v>2230</v>
      </c>
      <c r="V76" s="18">
        <f t="shared" si="20"/>
        <v>46082</v>
      </c>
      <c r="W76">
        <f>IF(U76=0,1,IF(U76&lt;='Demand Base Matrix'!$K$3,'Demand Base Matrix'!$L$3,IF(U76&lt;='Demand Base Matrix'!$K$4,'Demand Base Matrix'!$L$4,IF(U76&lt;='Demand Base Matrix'!$K$5,'Demand Base Matrix'!$L$5,IF(U76&lt;='Demand Base Matrix'!$K$6,'Demand Base Matrix'!$L$6,IF(U76&lt;='Demand Base Matrix'!$K$7,'Demand Base Matrix'!$L$7))))))</f>
        <v>1</v>
      </c>
      <c r="X76" s="4">
        <f t="shared" si="10"/>
        <v>46235</v>
      </c>
      <c r="Y76" t="str">
        <f t="shared" si="11"/>
        <v>Dx</v>
      </c>
      <c r="Z76" t="s">
        <v>685</v>
      </c>
      <c r="AA76" t="s">
        <v>685</v>
      </c>
      <c r="AB76" t="s">
        <v>685</v>
      </c>
      <c r="AC76">
        <f>IFERROR(INDEX('Demand Base Matrix'!AM:AM,MATCH(Y76,'Demand Base Matrix'!AL:AL,0)),"-")</f>
        <v>1</v>
      </c>
      <c r="AD76">
        <f>IFERROR(INDEX('Demand Base Matrix'!AO:AO,MATCH(Z76,'Demand Base Matrix'!AN:AN,0)),1)</f>
        <v>1</v>
      </c>
      <c r="AE76">
        <f>IFERROR(INDEX('Demand Base Matrix'!AQ:AQ,MATCH(AA76,'Demand Base Matrix'!AP:AP,0)),1)</f>
        <v>1</v>
      </c>
      <c r="AF76">
        <f>IFERROR(INDEX('Demand Base Matrix'!AS:AS,MATCH(AB76,'Demand Base Matrix'!AR:AR,0)),1)</f>
        <v>1</v>
      </c>
      <c r="AG76">
        <f>IF($C76="Validate",(('Demand Base Matrix'!D$2+'Demand Base Matrix'!D$6)*$AC$2*$AD$2*$AE$2+('Demand Base Matrix'!D$3+'Demand Base Matrix'!D$4)*$W$2*$AD$2+'Demand Base Matrix'!D$5*$W$2*$AD$2*$AE$2+'Demand Base Matrix'!D$7+'Demand Base Matrix'!D$8*$AF$2),IF($C76="Integrate",(('Demand Base Matrix'!D$28+'Demand Base Matrix'!D$32)*$AC$2*$AD$2*$AE$2+('Demand Base Matrix'!D$29+'Demand Base Matrix'!D$30)*$W$2*$AD$2+'Demand Base Matrix'!D$31*$W$2*$AD$2*$AE$2+'Demand Base Matrix'!D$33+'Demand Base Matrix'!D$34*$AF$2),IF($C76="Bond",(('Demand Base Matrix'!D$55+'Demand Base Matrix'!D$59)*$AC$2*$AD$2*$AE$2+('Demand Base Matrix'!D$56+'Demand Base Matrix'!D$57)*$W$2*$AD$2+'Demand Base Matrix'!D$58*$W$2*$AD$2*$AE$2+'Demand Base Matrix'!D$60+'Demand Base Matrix'!D$61*$AF$2),IF($C76="Explore",('Demand Base Matrix'!D$82*$AC$2*$AD$2*$AE$2*$AF$2+'Demand Base Matrix'!D$83*$W$2*$AC$2*$AD$2*$AE$2*$AF$2+'Demand Base Matrix'!D$84)))))</f>
        <v>10</v>
      </c>
      <c r="AH76">
        <f>IF($C76="Validate",(('Demand Base Matrix'!E$2+'Demand Base Matrix'!E$6)*$AC$2*$AD$2*$AE$2+('Demand Base Matrix'!E$3+'Demand Base Matrix'!E$4)*$W$2*$AD$2+'Demand Base Matrix'!E$5*$W$2*$AD$2*$AE$2+'Demand Base Matrix'!E$7+'Demand Base Matrix'!E$8*$AF$2),IF($C76="Integrate",(('Demand Base Matrix'!E$28+'Demand Base Matrix'!E$32)*$AC$2*$AD$2*$AE$2+('Demand Base Matrix'!E$29+'Demand Base Matrix'!E$30)*$W$2*$AD$2+'Demand Base Matrix'!E$31*$W$2*$AD$2*$AE$2+'Demand Base Matrix'!E$33+'Demand Base Matrix'!E$34*$AF$2),IF($C76="Bond",(('Demand Base Matrix'!E$55+'Demand Base Matrix'!E$59)*$AC$2*$AD$2*$AE$2+('Demand Base Matrix'!E$56+'Demand Base Matrix'!E$57)*$W$2*$AD$2+'Demand Base Matrix'!E$58*$W$2*$AD$2*$AE$2+'Demand Base Matrix'!E$60+'Demand Base Matrix'!E$61*$AF$2),IF($C76="Explore",('Demand Base Matrix'!E$82*$AC$2*$AD$2*$AE$2*$AF$2+'Demand Base Matrix'!E$83*$W$2*$AC$2*$AD$2*$AE$2*$AF$2+'Demand Base Matrix'!E$84)))))</f>
        <v>10</v>
      </c>
      <c r="AI76">
        <f>IF($C76="Validate",(('Demand Base Matrix'!F$2+'Demand Base Matrix'!F$6)*$AC$2*$AD$2*$AE$2+('Demand Base Matrix'!F$3+'Demand Base Matrix'!F$4)*$W$2*$AD$2+'Demand Base Matrix'!F$5*$W$2*$AD$2*$AE$2+'Demand Base Matrix'!F$7+'Demand Base Matrix'!F$8*$AF$2),IF($C76="Integrate",(('Demand Base Matrix'!F$28+'Demand Base Matrix'!F$32)*$AC$2*$AD$2*$AE$2+('Demand Base Matrix'!F$29+'Demand Base Matrix'!F$30)*$W$2*$AD$2+'Demand Base Matrix'!F$31*$W$2*$AD$2*$AE$2+'Demand Base Matrix'!F$33+'Demand Base Matrix'!F$34*$AF$2),IF($C76="Bond",(('Demand Base Matrix'!F$55+'Demand Base Matrix'!F$59)*$AC$2*$AD$2*$AE$2+('Demand Base Matrix'!F$56+'Demand Base Matrix'!F$57)*$W$2*$AD$2+'Demand Base Matrix'!F$58*$W$2*$AD$2*$AE$2+'Demand Base Matrix'!F$60+'Demand Base Matrix'!F$61*$AF$2),IF($C76="Explore",('Demand Base Matrix'!F$82*$AC$2*$AD$2*$AE$2*$AF$2+'Demand Base Matrix'!F$83*$W$2*$AC$2*$AD$2*$AE$2*$AF$2+'Demand Base Matrix'!F$84)))))</f>
        <v>10</v>
      </c>
      <c r="AJ76">
        <f>IF($C76="Validate",(('Demand Base Matrix'!G$2+'Demand Base Matrix'!G$6)*$AC$2*$AD$2*$AE$2+('Demand Base Matrix'!G$3+'Demand Base Matrix'!G$4)*$W$2*$AD$2+'Demand Base Matrix'!G$5*$W$2*$AD$2*$AE$2+'Demand Base Matrix'!G$7+'Demand Base Matrix'!G$8*$AF$2),IF($C76="Integrate",(('Demand Base Matrix'!G$28+'Demand Base Matrix'!G$32)*$AC$2*$AD$2*$AE$2+('Demand Base Matrix'!G$29+'Demand Base Matrix'!G$30)*$W$2*$AD$2+'Demand Base Matrix'!G$31*$W$2*$AD$2*$AE$2+'Demand Base Matrix'!G$33+'Demand Base Matrix'!G$34*$AF$2),IF($C76="Bond",(('Demand Base Matrix'!G$55+'Demand Base Matrix'!G$59)*$AC$2*$AD$2*$AE$2+('Demand Base Matrix'!G$56+'Demand Base Matrix'!G$57)*$W$2*$AD$2+'Demand Base Matrix'!G$58*$W$2*$AD$2*$AE$2+'Demand Base Matrix'!G$60+'Demand Base Matrix'!G$61*$AF$2),IF($C76="Explore",('Demand Base Matrix'!G$82*$AC$2*$AD$2*$AE$2*$AF$2+'Demand Base Matrix'!G$83*$W$2*$AC$2*$AD$2*$AE$2*$AF$2+'Demand Base Matrix'!G$84)))))</f>
        <v>50</v>
      </c>
      <c r="AK76">
        <f>IF($C76="Validate",(('Demand Base Matrix'!H$2+'Demand Base Matrix'!H$6)*$AC$2*$AD$2*$AE$2+('Demand Base Matrix'!H$3+'Demand Base Matrix'!H$4)*$W$2*$AD$2+'Demand Base Matrix'!H$5*$W$2*$AD$2*$AE$2+'Demand Base Matrix'!H$7+'Demand Base Matrix'!H$8*$AF$2),IF($C76="Integrate",(('Demand Base Matrix'!H$28+'Demand Base Matrix'!H$32)*$AC$2*$AD$2*$AE$2+('Demand Base Matrix'!H$29+'Demand Base Matrix'!H$30)*$W$2*$AD$2+'Demand Base Matrix'!H$31*$W$2*$AD$2*$AE$2+'Demand Base Matrix'!H$33+'Demand Base Matrix'!H$34*$AF$2),IF($C76="Bond",(('Demand Base Matrix'!H$55+'Demand Base Matrix'!H$59)*$AC$2*$AD$2*$AE$2+('Demand Base Matrix'!H$56+'Demand Base Matrix'!H$57)*$W$2*$AD$2+'Demand Base Matrix'!H$58*$W$2*$AD$2*$AE$2+'Demand Base Matrix'!H$60+'Demand Base Matrix'!H$61*$AF$2),IF($C76="Explore",('Demand Base Matrix'!H$82*$AC$2*$AD$2*$AE$2*$AF$2+'Demand Base Matrix'!H$83*$W$2*$AC$2*$AD$2*$AE$2*$AF$2+'Demand Base Matrix'!H$84)))))</f>
        <v>28</v>
      </c>
      <c r="AL76">
        <f>IF($C76="Validate",(('Demand Base Matrix'!I$2+'Demand Base Matrix'!I$6)*$AC$2*$AD$2*$AE$2+('Demand Base Matrix'!I$3+'Demand Base Matrix'!I$4)*$W$2*$AD$2+'Demand Base Matrix'!I$5*$W$2*$AD$2*$AE$2+'Demand Base Matrix'!I$7+'Demand Base Matrix'!I$8*$AF$2),IF($C76="Integrate",(('Demand Base Matrix'!I$28+'Demand Base Matrix'!I$32)*$AC$2*$AD$2*$AE$2+('Demand Base Matrix'!I$29+'Demand Base Matrix'!I$30)*$W$2*$AD$2+'Demand Base Matrix'!I$31*$W$2*$AD$2*$AE$2+'Demand Base Matrix'!I$33+'Demand Base Matrix'!I$34*$AF$2),IF($C76="Bond",(('Demand Base Matrix'!I$55+'Demand Base Matrix'!I$59)*$AC$2*$AD$2*$AE$2+('Demand Base Matrix'!I$56+'Demand Base Matrix'!I$57)*$W$2*$AD$2+'Demand Base Matrix'!I$58*$W$2*$AD$2*$AE$2+'Demand Base Matrix'!I$60+'Demand Base Matrix'!I$61*$AF$2),IF($C76="Explore",('Demand Base Matrix'!I$82*$AC$2*$AD$2*$AE$2*$AF$2+'Demand Base Matrix'!I$83*$W$2*$AC$2*$AD$2*$AE$2*$AF$2+'Demand Base Matrix'!I$84)))))</f>
        <v>8</v>
      </c>
      <c r="AM76">
        <f>IF($C76="Validate",(('Demand Base Matrix'!J$2+'Demand Base Matrix'!J$6)*$AC$2*$AD$2*$AE$2+('Demand Base Matrix'!J$3+'Demand Base Matrix'!J$4)*$W$2*$AD$2+'Demand Base Matrix'!J$5*$W$2*$AD$2*$AE$2+'Demand Base Matrix'!J$7+'Demand Base Matrix'!J$8*$AF$2),IF($C76="Integrate",(('Demand Base Matrix'!J$28+'Demand Base Matrix'!J$32)*$AC$2*$AD$2*$AE$2+('Demand Base Matrix'!J$29+'Demand Base Matrix'!J$30)*$W$2*$AD$2+'Demand Base Matrix'!J$31*$W$2*$AD$2*$AE$2+'Demand Base Matrix'!J$33+'Demand Base Matrix'!J$34*$AF$2),IF($C76="Bond",(('Demand Base Matrix'!J$55+'Demand Base Matrix'!J$59)*$AC$2*$AD$2*$AE$2+('Demand Base Matrix'!J$56+'Demand Base Matrix'!J$57)*$W$2*$AD$2+'Demand Base Matrix'!J$58*$W$2*$AD$2*$AE$2+'Demand Base Matrix'!J$60+'Demand Base Matrix'!J$61*$AF$2),IF($C76="Explore",('Demand Base Matrix'!J$82*$AC$2*$AD$2*$AE$2*$AF$2+'Demand Base Matrix'!J$83*$W$2*$AC$2*$AD$2*$AE$2*$AF$2+'Demand Base Matrix'!J$84)))))</f>
        <v>8</v>
      </c>
    </row>
    <row r="77" spans="1:95" x14ac:dyDescent="0.2">
      <c r="A77" t="s">
        <v>786</v>
      </c>
      <c r="B77" t="s">
        <v>642</v>
      </c>
      <c r="C77" t="s">
        <v>20</v>
      </c>
      <c r="D77" t="s">
        <v>60</v>
      </c>
      <c r="E77" t="s">
        <v>699</v>
      </c>
      <c r="F77" t="s">
        <v>189</v>
      </c>
      <c r="I77" t="str">
        <f>IFERROR(INDEX('Customer 360'!F:F,MATCH(B77,'Customer 360'!A:A,0)),"-")</f>
        <v>A</v>
      </c>
      <c r="J77">
        <v>8820</v>
      </c>
      <c r="K77"/>
      <c r="L77" s="4">
        <v>46255</v>
      </c>
      <c r="M77" s="4">
        <v>46255</v>
      </c>
      <c r="N77">
        <v>2026</v>
      </c>
      <c r="O77" s="4">
        <v>46082</v>
      </c>
      <c r="P77" t="s">
        <v>217</v>
      </c>
      <c r="Q77" s="18">
        <f t="shared" si="19"/>
        <v>46082</v>
      </c>
      <c r="R77" s="18">
        <f>IFERROR(IF(M77&lt;&gt;"",M77,IF(L77&lt;&gt;"",L77,INDEX('CSM RDD'!B:B,MATCH(B77,'CSM RDD'!A:A,0)))),"-")</f>
        <v>46255</v>
      </c>
      <c r="S77" s="18">
        <f t="shared" ref="S77:S89" si="21">IFERROR(EOMONTH(Q77,-1)+1,"")</f>
        <v>46082</v>
      </c>
      <c r="T77" s="18">
        <f t="shared" ref="T77:T89" si="22">IFERROR(EOMONTH(R77,-1)+1,"")</f>
        <v>46235</v>
      </c>
      <c r="U77" s="6">
        <f t="shared" ref="U77:U89" si="23">J77+K77</f>
        <v>8820</v>
      </c>
      <c r="V77" s="18">
        <f t="shared" si="20"/>
        <v>46082</v>
      </c>
      <c r="W77">
        <f>IF(U77=0,1,IF(U77&lt;='Demand Base Matrix'!$K$3,'Demand Base Matrix'!$L$3,IF(U77&lt;='Demand Base Matrix'!$K$4,'Demand Base Matrix'!$L$4,IF(U77&lt;='Demand Base Matrix'!$K$5,'Demand Base Matrix'!$L$5,IF(U77&lt;='Demand Base Matrix'!$K$6,'Demand Base Matrix'!$L$6,IF(U77&lt;='Demand Base Matrix'!$K$7,'Demand Base Matrix'!$L$7))))))</f>
        <v>1.25</v>
      </c>
      <c r="X77" s="4">
        <f t="shared" ref="X77:X89" si="24">DATE(YEAR(R77),MONTH(R77),1)</f>
        <v>46235</v>
      </c>
      <c r="Y77" t="str">
        <f t="shared" ref="Y77:Y89" si="25">IF(K77&gt;0,"Tx","Dx")</f>
        <v>Dx</v>
      </c>
      <c r="Z77" t="s">
        <v>685</v>
      </c>
      <c r="AA77" t="s">
        <v>685</v>
      </c>
      <c r="AB77" t="s">
        <v>685</v>
      </c>
      <c r="AC77">
        <f>IFERROR(INDEX('Demand Base Matrix'!AM:AM,MATCH(Y77,'Demand Base Matrix'!AL:AL,0)),"-")</f>
        <v>1</v>
      </c>
      <c r="AD77">
        <f>IFERROR(INDEX('Demand Base Matrix'!AO:AO,MATCH(Z77,'Demand Base Matrix'!AN:AN,0)),1)</f>
        <v>1</v>
      </c>
      <c r="AE77">
        <f>IFERROR(INDEX('Demand Base Matrix'!AQ:AQ,MATCH(AA77,'Demand Base Matrix'!AP:AP,0)),1)</f>
        <v>1</v>
      </c>
      <c r="AF77">
        <f>IFERROR(INDEX('Demand Base Matrix'!AS:AS,MATCH(AB77,'Demand Base Matrix'!AR:AR,0)),1)</f>
        <v>1</v>
      </c>
      <c r="AG77">
        <f>IF($C77="Validate",(('Demand Base Matrix'!D$2+'Demand Base Matrix'!D$6)*$AC$2*$AD$2*$AE$2+('Demand Base Matrix'!D$3+'Demand Base Matrix'!D$4)*$W$2*$AD$2+'Demand Base Matrix'!D$5*$W$2*$AD$2*$AE$2+'Demand Base Matrix'!D$7+'Demand Base Matrix'!D$8*$AF$2),IF($C77="Integrate",(('Demand Base Matrix'!D$28+'Demand Base Matrix'!D$32)*$AC$2*$AD$2*$AE$2+('Demand Base Matrix'!D$29+'Demand Base Matrix'!D$30)*$W$2*$AD$2+'Demand Base Matrix'!D$31*$W$2*$AD$2*$AE$2+'Demand Base Matrix'!D$33+'Demand Base Matrix'!D$34*$AF$2),IF($C77="Bond",(('Demand Base Matrix'!D$55+'Demand Base Matrix'!D$59)*$AC$2*$AD$2*$AE$2+('Demand Base Matrix'!D$56+'Demand Base Matrix'!D$57)*$W$2*$AD$2+'Demand Base Matrix'!D$58*$W$2*$AD$2*$AE$2+'Demand Base Matrix'!D$60+'Demand Base Matrix'!D$61*$AF$2),IF($C77="Explore",('Demand Base Matrix'!D$82*$AC$2*$AD$2*$AE$2*$AF$2+'Demand Base Matrix'!D$83*$W$2*$AC$2*$AD$2*$AE$2*$AF$2+'Demand Base Matrix'!D$84)))))</f>
        <v>15</v>
      </c>
      <c r="AH77">
        <f>IF($C77="Validate",(('Demand Base Matrix'!E$2+'Demand Base Matrix'!E$6)*$AC$2*$AD$2*$AE$2+('Demand Base Matrix'!E$3+'Demand Base Matrix'!E$4)*$W$2*$AD$2+'Demand Base Matrix'!E$5*$W$2*$AD$2*$AE$2+'Demand Base Matrix'!E$7+'Demand Base Matrix'!E$8*$AF$2),IF($C77="Integrate",(('Demand Base Matrix'!E$28+'Demand Base Matrix'!E$32)*$AC$2*$AD$2*$AE$2+('Demand Base Matrix'!E$29+'Demand Base Matrix'!E$30)*$W$2*$AD$2+'Demand Base Matrix'!E$31*$W$2*$AD$2*$AE$2+'Demand Base Matrix'!E$33+'Demand Base Matrix'!E$34*$AF$2),IF($C77="Bond",(('Demand Base Matrix'!E$55+'Demand Base Matrix'!E$59)*$AC$2*$AD$2*$AE$2+('Demand Base Matrix'!E$56+'Demand Base Matrix'!E$57)*$W$2*$AD$2+'Demand Base Matrix'!E$58*$W$2*$AD$2*$AE$2+'Demand Base Matrix'!E$60+'Demand Base Matrix'!E$61*$AF$2),IF($C77="Explore",('Demand Base Matrix'!E$82*$AC$2*$AD$2*$AE$2*$AF$2+'Demand Base Matrix'!E$83*$W$2*$AC$2*$AD$2*$AE$2*$AF$2+'Demand Base Matrix'!E$84)))))</f>
        <v>15</v>
      </c>
      <c r="AI77">
        <f>IF($C77="Validate",(('Demand Base Matrix'!F$2+'Demand Base Matrix'!F$6)*$AC$2*$AD$2*$AE$2+('Demand Base Matrix'!F$3+'Demand Base Matrix'!F$4)*$W$2*$AD$2+'Demand Base Matrix'!F$5*$W$2*$AD$2*$AE$2+'Demand Base Matrix'!F$7+'Demand Base Matrix'!F$8*$AF$2),IF($C77="Integrate",(('Demand Base Matrix'!F$28+'Demand Base Matrix'!F$32)*$AC$2*$AD$2*$AE$2+('Demand Base Matrix'!F$29+'Demand Base Matrix'!F$30)*$W$2*$AD$2+'Demand Base Matrix'!F$31*$W$2*$AD$2*$AE$2+'Demand Base Matrix'!F$33+'Demand Base Matrix'!F$34*$AF$2),IF($C77="Bond",(('Demand Base Matrix'!F$55+'Demand Base Matrix'!F$59)*$AC$2*$AD$2*$AE$2+('Demand Base Matrix'!F$56+'Demand Base Matrix'!F$57)*$W$2*$AD$2+'Demand Base Matrix'!F$58*$W$2*$AD$2*$AE$2+'Demand Base Matrix'!F$60+'Demand Base Matrix'!F$61*$AF$2),IF($C77="Explore",('Demand Base Matrix'!F$82*$AC$2*$AD$2*$AE$2*$AF$2+'Demand Base Matrix'!F$83*$W$2*$AC$2*$AD$2*$AE$2*$AF$2+'Demand Base Matrix'!F$84)))))</f>
        <v>7</v>
      </c>
      <c r="AJ77">
        <f>IF($C77="Validate",(('Demand Base Matrix'!G$2+'Demand Base Matrix'!G$6)*$AC$2*$AD$2*$AE$2+('Demand Base Matrix'!G$3+'Demand Base Matrix'!G$4)*$W$2*$AD$2+'Demand Base Matrix'!G$5*$W$2*$AD$2*$AE$2+'Demand Base Matrix'!G$7+'Demand Base Matrix'!G$8*$AF$2),IF($C77="Integrate",(('Demand Base Matrix'!G$28+'Demand Base Matrix'!G$32)*$AC$2*$AD$2*$AE$2+('Demand Base Matrix'!G$29+'Demand Base Matrix'!G$30)*$W$2*$AD$2+'Demand Base Matrix'!G$31*$W$2*$AD$2*$AE$2+'Demand Base Matrix'!G$33+'Demand Base Matrix'!G$34*$AF$2),IF($C77="Bond",(('Demand Base Matrix'!G$55+'Demand Base Matrix'!G$59)*$AC$2*$AD$2*$AE$2+('Demand Base Matrix'!G$56+'Demand Base Matrix'!G$57)*$W$2*$AD$2+'Demand Base Matrix'!G$58*$W$2*$AD$2*$AE$2+'Demand Base Matrix'!G$60+'Demand Base Matrix'!G$61*$AF$2),IF($C77="Explore",('Demand Base Matrix'!G$82*$AC$2*$AD$2*$AE$2*$AF$2+'Demand Base Matrix'!G$83*$W$2*$AC$2*$AD$2*$AE$2*$AF$2+'Demand Base Matrix'!G$84)))))</f>
        <v>40</v>
      </c>
      <c r="AK77">
        <f>IF($C77="Validate",(('Demand Base Matrix'!H$2+'Demand Base Matrix'!H$6)*$AC$2*$AD$2*$AE$2+('Demand Base Matrix'!H$3+'Demand Base Matrix'!H$4)*$W$2*$AD$2+'Demand Base Matrix'!H$5*$W$2*$AD$2*$AE$2+'Demand Base Matrix'!H$7+'Demand Base Matrix'!H$8*$AF$2),IF($C77="Integrate",(('Demand Base Matrix'!H$28+'Demand Base Matrix'!H$32)*$AC$2*$AD$2*$AE$2+('Demand Base Matrix'!H$29+'Demand Base Matrix'!H$30)*$W$2*$AD$2+'Demand Base Matrix'!H$31*$W$2*$AD$2*$AE$2+'Demand Base Matrix'!H$33+'Demand Base Matrix'!H$34*$AF$2),IF($C77="Bond",(('Demand Base Matrix'!H$55+'Demand Base Matrix'!H$59)*$AC$2*$AD$2*$AE$2+('Demand Base Matrix'!H$56+'Demand Base Matrix'!H$57)*$W$2*$AD$2+'Demand Base Matrix'!H$58*$W$2*$AD$2*$AE$2+'Demand Base Matrix'!H$60+'Demand Base Matrix'!H$61*$AF$2),IF($C77="Explore",('Demand Base Matrix'!H$82*$AC$2*$AD$2*$AE$2*$AF$2+'Demand Base Matrix'!H$83*$W$2*$AC$2*$AD$2*$AE$2*$AF$2+'Demand Base Matrix'!H$84)))))</f>
        <v>60</v>
      </c>
      <c r="AL77">
        <f>IF($C77="Validate",(('Demand Base Matrix'!I$2+'Demand Base Matrix'!I$6)*$AC$2*$AD$2*$AE$2+('Demand Base Matrix'!I$3+'Demand Base Matrix'!I$4)*$W$2*$AD$2+'Demand Base Matrix'!I$5*$W$2*$AD$2*$AE$2+'Demand Base Matrix'!I$7+'Demand Base Matrix'!I$8*$AF$2),IF($C77="Integrate",(('Demand Base Matrix'!I$28+'Demand Base Matrix'!I$32)*$AC$2*$AD$2*$AE$2+('Demand Base Matrix'!I$29+'Demand Base Matrix'!I$30)*$W$2*$AD$2+'Demand Base Matrix'!I$31*$W$2*$AD$2*$AE$2+'Demand Base Matrix'!I$33+'Demand Base Matrix'!I$34*$AF$2),IF($C77="Bond",(('Demand Base Matrix'!I$55+'Demand Base Matrix'!I$59)*$AC$2*$AD$2*$AE$2+('Demand Base Matrix'!I$56+'Demand Base Matrix'!I$57)*$W$2*$AD$2+'Demand Base Matrix'!I$58*$W$2*$AD$2*$AE$2+'Demand Base Matrix'!I$60+'Demand Base Matrix'!I$61*$AF$2),IF($C77="Explore",('Demand Base Matrix'!I$82*$AC$2*$AD$2*$AE$2*$AF$2+'Demand Base Matrix'!I$83*$W$2*$AC$2*$AD$2*$AE$2*$AF$2+'Demand Base Matrix'!I$84)))))</f>
        <v>10</v>
      </c>
      <c r="AM77">
        <f>IF($C77="Validate",(('Demand Base Matrix'!J$2+'Demand Base Matrix'!J$6)*$AC$2*$AD$2*$AE$2+('Demand Base Matrix'!J$3+'Demand Base Matrix'!J$4)*$W$2*$AD$2+'Demand Base Matrix'!J$5*$W$2*$AD$2*$AE$2+'Demand Base Matrix'!J$7+'Demand Base Matrix'!J$8*$AF$2),IF($C77="Integrate",(('Demand Base Matrix'!J$28+'Demand Base Matrix'!J$32)*$AC$2*$AD$2*$AE$2+('Demand Base Matrix'!J$29+'Demand Base Matrix'!J$30)*$W$2*$AD$2+'Demand Base Matrix'!J$31*$W$2*$AD$2*$AE$2+'Demand Base Matrix'!J$33+'Demand Base Matrix'!J$34*$AF$2),IF($C77="Bond",(('Demand Base Matrix'!J$55+'Demand Base Matrix'!J$59)*$AC$2*$AD$2*$AE$2+('Demand Base Matrix'!J$56+'Demand Base Matrix'!J$57)*$W$2*$AD$2+'Demand Base Matrix'!J$58*$W$2*$AD$2*$AE$2+'Demand Base Matrix'!J$60+'Demand Base Matrix'!J$61*$AF$2),IF($C77="Explore",('Demand Base Matrix'!J$82*$AC$2*$AD$2*$AE$2*$AF$2+'Demand Base Matrix'!J$83*$W$2*$AC$2*$AD$2*$AE$2*$AF$2+'Demand Base Matrix'!J$84)))))</f>
        <v>4</v>
      </c>
    </row>
    <row r="78" spans="1:95" x14ac:dyDescent="0.2">
      <c r="A78" t="s">
        <v>787</v>
      </c>
      <c r="B78" t="s">
        <v>205</v>
      </c>
      <c r="C78" t="s">
        <v>23</v>
      </c>
      <c r="D78" t="s">
        <v>694</v>
      </c>
      <c r="E78" t="s">
        <v>222</v>
      </c>
      <c r="F78" t="s">
        <v>180</v>
      </c>
      <c r="I78" t="str">
        <f>IFERROR(INDEX('Customer 360'!F:F,MATCH(B78,'Customer 360'!A:A,0)),"-")</f>
        <v>B</v>
      </c>
      <c r="J78">
        <v>588</v>
      </c>
      <c r="K78"/>
      <c r="L78" s="4">
        <v>46260</v>
      </c>
      <c r="M78" s="4">
        <v>46260</v>
      </c>
      <c r="N78">
        <v>2026</v>
      </c>
      <c r="O78" s="4">
        <v>46023</v>
      </c>
      <c r="P78" t="s">
        <v>217</v>
      </c>
      <c r="Q78" s="18">
        <f t="shared" si="19"/>
        <v>46023</v>
      </c>
      <c r="R78" s="18">
        <f>IFERROR(IF(M78&lt;&gt;"",M78,IF(L78&lt;&gt;"",L78,INDEX('CSM RDD'!B:B,MATCH(B78,'CSM RDD'!A:A,0)))),"-")</f>
        <v>46260</v>
      </c>
      <c r="S78" s="18">
        <f t="shared" si="21"/>
        <v>46023</v>
      </c>
      <c r="T78" s="18">
        <f t="shared" si="22"/>
        <v>46235</v>
      </c>
      <c r="U78" s="6">
        <f t="shared" si="23"/>
        <v>588</v>
      </c>
      <c r="V78" s="18">
        <f t="shared" si="20"/>
        <v>46082</v>
      </c>
      <c r="W78">
        <f>IF(U78=0,1,IF(U78&lt;='Demand Base Matrix'!$K$3,'Demand Base Matrix'!$L$3,IF(U78&lt;='Demand Base Matrix'!$K$4,'Demand Base Matrix'!$L$4,IF(U78&lt;='Demand Base Matrix'!$K$5,'Demand Base Matrix'!$L$5,IF(U78&lt;='Demand Base Matrix'!$K$6,'Demand Base Matrix'!$L$6,IF(U78&lt;='Demand Base Matrix'!$K$7,'Demand Base Matrix'!$L$7))))))</f>
        <v>0.75</v>
      </c>
      <c r="X78" s="4">
        <f t="shared" si="24"/>
        <v>46235</v>
      </c>
      <c r="Y78" t="str">
        <f t="shared" si="25"/>
        <v>Dx</v>
      </c>
      <c r="Z78" t="s">
        <v>685</v>
      </c>
      <c r="AA78" t="s">
        <v>685</v>
      </c>
      <c r="AB78" t="s">
        <v>685</v>
      </c>
      <c r="AC78">
        <f>IFERROR(INDEX('Demand Base Matrix'!AM:AM,MATCH(Y78,'Demand Base Matrix'!AL:AL,0)),"-")</f>
        <v>1</v>
      </c>
      <c r="AD78">
        <f>IFERROR(INDEX('Demand Base Matrix'!AO:AO,MATCH(Z78,'Demand Base Matrix'!AN:AN,0)),1)</f>
        <v>1</v>
      </c>
      <c r="AE78">
        <f>IFERROR(INDEX('Demand Base Matrix'!AQ:AQ,MATCH(AA78,'Demand Base Matrix'!AP:AP,0)),1)</f>
        <v>1</v>
      </c>
      <c r="AF78">
        <f>IFERROR(INDEX('Demand Base Matrix'!AS:AS,MATCH(AB78,'Demand Base Matrix'!AR:AR,0)),1)</f>
        <v>1</v>
      </c>
      <c r="AG78">
        <f>IF($C78="Validate",(('Demand Base Matrix'!D$2+'Demand Base Matrix'!D$6)*$AC$2*$AD$2*$AE$2+('Demand Base Matrix'!D$3+'Demand Base Matrix'!D$4)*$W$2*$AD$2+'Demand Base Matrix'!D$5*$W$2*$AD$2*$AE$2+'Demand Base Matrix'!D$7+'Demand Base Matrix'!D$8*$AF$2),IF($C78="Integrate",(('Demand Base Matrix'!D$28+'Demand Base Matrix'!D$32)*$AC$2*$AD$2*$AE$2+('Demand Base Matrix'!D$29+'Demand Base Matrix'!D$30)*$W$2*$AD$2+'Demand Base Matrix'!D$31*$W$2*$AD$2*$AE$2+'Demand Base Matrix'!D$33+'Demand Base Matrix'!D$34*$AF$2),IF($C78="Bond",(('Demand Base Matrix'!D$55+'Demand Base Matrix'!D$59)*$AC$2*$AD$2*$AE$2+('Demand Base Matrix'!D$56+'Demand Base Matrix'!D$57)*$W$2*$AD$2+'Demand Base Matrix'!D$58*$W$2*$AD$2*$AE$2+'Demand Base Matrix'!D$60+'Demand Base Matrix'!D$61*$AF$2),IF($C78="Explore",('Demand Base Matrix'!D$82*$AC$2*$AD$2*$AE$2*$AF$2+'Demand Base Matrix'!D$83*$W$2*$AC$2*$AD$2*$AE$2*$AF$2+'Demand Base Matrix'!D$84)))))</f>
        <v>10</v>
      </c>
      <c r="AH78">
        <f>IF($C78="Validate",(('Demand Base Matrix'!E$2+'Demand Base Matrix'!E$6)*$AC$2*$AD$2*$AE$2+('Demand Base Matrix'!E$3+'Demand Base Matrix'!E$4)*$W$2*$AD$2+'Demand Base Matrix'!E$5*$W$2*$AD$2*$AE$2+'Demand Base Matrix'!E$7+'Demand Base Matrix'!E$8*$AF$2),IF($C78="Integrate",(('Demand Base Matrix'!E$28+'Demand Base Matrix'!E$32)*$AC$2*$AD$2*$AE$2+('Demand Base Matrix'!E$29+'Demand Base Matrix'!E$30)*$W$2*$AD$2+'Demand Base Matrix'!E$31*$W$2*$AD$2*$AE$2+'Demand Base Matrix'!E$33+'Demand Base Matrix'!E$34*$AF$2),IF($C78="Bond",(('Demand Base Matrix'!E$55+'Demand Base Matrix'!E$59)*$AC$2*$AD$2*$AE$2+('Demand Base Matrix'!E$56+'Demand Base Matrix'!E$57)*$W$2*$AD$2+'Demand Base Matrix'!E$58*$W$2*$AD$2*$AE$2+'Demand Base Matrix'!E$60+'Demand Base Matrix'!E$61*$AF$2),IF($C78="Explore",('Demand Base Matrix'!E$82*$AC$2*$AD$2*$AE$2*$AF$2+'Demand Base Matrix'!E$83*$W$2*$AC$2*$AD$2*$AE$2*$AF$2+'Demand Base Matrix'!E$84)))))</f>
        <v>10</v>
      </c>
      <c r="AI78">
        <f>IF($C78="Validate",(('Demand Base Matrix'!F$2+'Demand Base Matrix'!F$6)*$AC$2*$AD$2*$AE$2+('Demand Base Matrix'!F$3+'Demand Base Matrix'!F$4)*$W$2*$AD$2+'Demand Base Matrix'!F$5*$W$2*$AD$2*$AE$2+'Demand Base Matrix'!F$7+'Demand Base Matrix'!F$8*$AF$2),IF($C78="Integrate",(('Demand Base Matrix'!F$28+'Demand Base Matrix'!F$32)*$AC$2*$AD$2*$AE$2+('Demand Base Matrix'!F$29+'Demand Base Matrix'!F$30)*$W$2*$AD$2+'Demand Base Matrix'!F$31*$W$2*$AD$2*$AE$2+'Demand Base Matrix'!F$33+'Demand Base Matrix'!F$34*$AF$2),IF($C78="Bond",(('Demand Base Matrix'!F$55+'Demand Base Matrix'!F$59)*$AC$2*$AD$2*$AE$2+('Demand Base Matrix'!F$56+'Demand Base Matrix'!F$57)*$W$2*$AD$2+'Demand Base Matrix'!F$58*$W$2*$AD$2*$AE$2+'Demand Base Matrix'!F$60+'Demand Base Matrix'!F$61*$AF$2),IF($C78="Explore",('Demand Base Matrix'!F$82*$AC$2*$AD$2*$AE$2*$AF$2+'Demand Base Matrix'!F$83*$W$2*$AC$2*$AD$2*$AE$2*$AF$2+'Demand Base Matrix'!F$84)))))</f>
        <v>10</v>
      </c>
      <c r="AJ78">
        <f>IF($C78="Validate",(('Demand Base Matrix'!G$2+'Demand Base Matrix'!G$6)*$AC$2*$AD$2*$AE$2+('Demand Base Matrix'!G$3+'Demand Base Matrix'!G$4)*$W$2*$AD$2+'Demand Base Matrix'!G$5*$W$2*$AD$2*$AE$2+'Demand Base Matrix'!G$7+'Demand Base Matrix'!G$8*$AF$2),IF($C78="Integrate",(('Demand Base Matrix'!G$28+'Demand Base Matrix'!G$32)*$AC$2*$AD$2*$AE$2+('Demand Base Matrix'!G$29+'Demand Base Matrix'!G$30)*$W$2*$AD$2+'Demand Base Matrix'!G$31*$W$2*$AD$2*$AE$2+'Demand Base Matrix'!G$33+'Demand Base Matrix'!G$34*$AF$2),IF($C78="Bond",(('Demand Base Matrix'!G$55+'Demand Base Matrix'!G$59)*$AC$2*$AD$2*$AE$2+('Demand Base Matrix'!G$56+'Demand Base Matrix'!G$57)*$W$2*$AD$2+'Demand Base Matrix'!G$58*$W$2*$AD$2*$AE$2+'Demand Base Matrix'!G$60+'Demand Base Matrix'!G$61*$AF$2),IF($C78="Explore",('Demand Base Matrix'!G$82*$AC$2*$AD$2*$AE$2*$AF$2+'Demand Base Matrix'!G$83*$W$2*$AC$2*$AD$2*$AE$2*$AF$2+'Demand Base Matrix'!G$84)))))</f>
        <v>50</v>
      </c>
      <c r="AK78">
        <f>IF($C78="Validate",(('Demand Base Matrix'!H$2+'Demand Base Matrix'!H$6)*$AC$2*$AD$2*$AE$2+('Demand Base Matrix'!H$3+'Demand Base Matrix'!H$4)*$W$2*$AD$2+'Demand Base Matrix'!H$5*$W$2*$AD$2*$AE$2+'Demand Base Matrix'!H$7+'Demand Base Matrix'!H$8*$AF$2),IF($C78="Integrate",(('Demand Base Matrix'!H$28+'Demand Base Matrix'!H$32)*$AC$2*$AD$2*$AE$2+('Demand Base Matrix'!H$29+'Demand Base Matrix'!H$30)*$W$2*$AD$2+'Demand Base Matrix'!H$31*$W$2*$AD$2*$AE$2+'Demand Base Matrix'!H$33+'Demand Base Matrix'!H$34*$AF$2),IF($C78="Bond",(('Demand Base Matrix'!H$55+'Demand Base Matrix'!H$59)*$AC$2*$AD$2*$AE$2+('Demand Base Matrix'!H$56+'Demand Base Matrix'!H$57)*$W$2*$AD$2+'Demand Base Matrix'!H$58*$W$2*$AD$2*$AE$2+'Demand Base Matrix'!H$60+'Demand Base Matrix'!H$61*$AF$2),IF($C78="Explore",('Demand Base Matrix'!H$82*$AC$2*$AD$2*$AE$2*$AF$2+'Demand Base Matrix'!H$83*$W$2*$AC$2*$AD$2*$AE$2*$AF$2+'Demand Base Matrix'!H$84)))))</f>
        <v>28</v>
      </c>
      <c r="AL78">
        <f>IF($C78="Validate",(('Demand Base Matrix'!I$2+'Demand Base Matrix'!I$6)*$AC$2*$AD$2*$AE$2+('Demand Base Matrix'!I$3+'Demand Base Matrix'!I$4)*$W$2*$AD$2+'Demand Base Matrix'!I$5*$W$2*$AD$2*$AE$2+'Demand Base Matrix'!I$7+'Demand Base Matrix'!I$8*$AF$2),IF($C78="Integrate",(('Demand Base Matrix'!I$28+'Demand Base Matrix'!I$32)*$AC$2*$AD$2*$AE$2+('Demand Base Matrix'!I$29+'Demand Base Matrix'!I$30)*$W$2*$AD$2+'Demand Base Matrix'!I$31*$W$2*$AD$2*$AE$2+'Demand Base Matrix'!I$33+'Demand Base Matrix'!I$34*$AF$2),IF($C78="Bond",(('Demand Base Matrix'!I$55+'Demand Base Matrix'!I$59)*$AC$2*$AD$2*$AE$2+('Demand Base Matrix'!I$56+'Demand Base Matrix'!I$57)*$W$2*$AD$2+'Demand Base Matrix'!I$58*$W$2*$AD$2*$AE$2+'Demand Base Matrix'!I$60+'Demand Base Matrix'!I$61*$AF$2),IF($C78="Explore",('Demand Base Matrix'!I$82*$AC$2*$AD$2*$AE$2*$AF$2+'Demand Base Matrix'!I$83*$W$2*$AC$2*$AD$2*$AE$2*$AF$2+'Demand Base Matrix'!I$84)))))</f>
        <v>8</v>
      </c>
      <c r="AM78">
        <f>IF($C78="Validate",(('Demand Base Matrix'!J$2+'Demand Base Matrix'!J$6)*$AC$2*$AD$2*$AE$2+('Demand Base Matrix'!J$3+'Demand Base Matrix'!J$4)*$W$2*$AD$2+'Demand Base Matrix'!J$5*$W$2*$AD$2*$AE$2+'Demand Base Matrix'!J$7+'Demand Base Matrix'!J$8*$AF$2),IF($C78="Integrate",(('Demand Base Matrix'!J$28+'Demand Base Matrix'!J$32)*$AC$2*$AD$2*$AE$2+('Demand Base Matrix'!J$29+'Demand Base Matrix'!J$30)*$W$2*$AD$2+'Demand Base Matrix'!J$31*$W$2*$AD$2*$AE$2+'Demand Base Matrix'!J$33+'Demand Base Matrix'!J$34*$AF$2),IF($C78="Bond",(('Demand Base Matrix'!J$55+'Demand Base Matrix'!J$59)*$AC$2*$AD$2*$AE$2+('Demand Base Matrix'!J$56+'Demand Base Matrix'!J$57)*$W$2*$AD$2+'Demand Base Matrix'!J$58*$W$2*$AD$2*$AE$2+'Demand Base Matrix'!J$60+'Demand Base Matrix'!J$61*$AF$2),IF($C78="Explore",('Demand Base Matrix'!J$82*$AC$2*$AD$2*$AE$2*$AF$2+'Demand Base Matrix'!J$83*$W$2*$AC$2*$AD$2*$AE$2*$AF$2+'Demand Base Matrix'!J$84)))))</f>
        <v>8</v>
      </c>
    </row>
    <row r="79" spans="1:95" x14ac:dyDescent="0.2">
      <c r="A79" t="s">
        <v>788</v>
      </c>
      <c r="B79" t="s">
        <v>100</v>
      </c>
      <c r="C79" t="s">
        <v>23</v>
      </c>
      <c r="D79" t="s">
        <v>33</v>
      </c>
      <c r="E79" t="s">
        <v>222</v>
      </c>
      <c r="F79" t="s">
        <v>51</v>
      </c>
      <c r="I79" t="str">
        <f>IFERROR(INDEX('Customer 360'!F:F,MATCH(B79,'Customer 360'!A:A,0)),"-")</f>
        <v>D</v>
      </c>
      <c r="J79">
        <v>3814</v>
      </c>
      <c r="K79"/>
      <c r="L79" s="4">
        <v>46252</v>
      </c>
      <c r="M79" s="4">
        <v>46252</v>
      </c>
      <c r="N79">
        <v>2026</v>
      </c>
      <c r="O79" s="4">
        <v>46023</v>
      </c>
      <c r="P79" t="s">
        <v>217</v>
      </c>
      <c r="Q79" s="18">
        <f t="shared" si="19"/>
        <v>46023</v>
      </c>
      <c r="R79" s="18">
        <f>IFERROR(IF(M79&lt;&gt;"",M79,IF(L79&lt;&gt;"",L79,INDEX('CSM RDD'!B:B,MATCH(B79,'CSM RDD'!A:A,0)))),"-")</f>
        <v>46252</v>
      </c>
      <c r="S79" s="18">
        <f t="shared" si="21"/>
        <v>46023</v>
      </c>
      <c r="T79" s="18">
        <f t="shared" si="22"/>
        <v>46235</v>
      </c>
      <c r="U79" s="6">
        <f t="shared" si="23"/>
        <v>3814</v>
      </c>
      <c r="V79" s="18">
        <f t="shared" si="20"/>
        <v>46082</v>
      </c>
      <c r="W79">
        <f>IF(U79=0,1,IF(U79&lt;='Demand Base Matrix'!$K$3,'Demand Base Matrix'!$L$3,IF(U79&lt;='Demand Base Matrix'!$K$4,'Demand Base Matrix'!$L$4,IF(U79&lt;='Demand Base Matrix'!$K$5,'Demand Base Matrix'!$L$5,IF(U79&lt;='Demand Base Matrix'!$K$6,'Demand Base Matrix'!$L$6,IF(U79&lt;='Demand Base Matrix'!$K$7,'Demand Base Matrix'!$L$7))))))</f>
        <v>1</v>
      </c>
      <c r="X79" s="4">
        <f t="shared" si="24"/>
        <v>46235</v>
      </c>
      <c r="Y79" t="str">
        <f t="shared" si="25"/>
        <v>Dx</v>
      </c>
      <c r="Z79" t="s">
        <v>685</v>
      </c>
      <c r="AA79" t="s">
        <v>685</v>
      </c>
      <c r="AB79" t="s">
        <v>685</v>
      </c>
      <c r="AC79">
        <f>IFERROR(INDEX('Demand Base Matrix'!AM:AM,MATCH(Y79,'Demand Base Matrix'!AL:AL,0)),"-")</f>
        <v>1</v>
      </c>
      <c r="AD79">
        <f>IFERROR(INDEX('Demand Base Matrix'!AO:AO,MATCH(Z79,'Demand Base Matrix'!AN:AN,0)),1)</f>
        <v>1</v>
      </c>
      <c r="AE79">
        <f>IFERROR(INDEX('Demand Base Matrix'!AQ:AQ,MATCH(AA79,'Demand Base Matrix'!AP:AP,0)),1)</f>
        <v>1</v>
      </c>
      <c r="AF79">
        <f>IFERROR(INDEX('Demand Base Matrix'!AS:AS,MATCH(AB79,'Demand Base Matrix'!AR:AR,0)),1)</f>
        <v>1</v>
      </c>
      <c r="AG79">
        <f>IF($C79="Validate",(('Demand Base Matrix'!D$2+'Demand Base Matrix'!D$6)*$AC$2*$AD$2*$AE$2+('Demand Base Matrix'!D$3+'Demand Base Matrix'!D$4)*$W$2*$AD$2+'Demand Base Matrix'!D$5*$W$2*$AD$2*$AE$2+'Demand Base Matrix'!D$7+'Demand Base Matrix'!D$8*$AF$2),IF($C79="Integrate",(('Demand Base Matrix'!D$28+'Demand Base Matrix'!D$32)*$AC$2*$AD$2*$AE$2+('Demand Base Matrix'!D$29+'Demand Base Matrix'!D$30)*$W$2*$AD$2+'Demand Base Matrix'!D$31*$W$2*$AD$2*$AE$2+'Demand Base Matrix'!D$33+'Demand Base Matrix'!D$34*$AF$2),IF($C79="Bond",(('Demand Base Matrix'!D$55+'Demand Base Matrix'!D$59)*$AC$2*$AD$2*$AE$2+('Demand Base Matrix'!D$56+'Demand Base Matrix'!D$57)*$W$2*$AD$2+'Demand Base Matrix'!D$58*$W$2*$AD$2*$AE$2+'Demand Base Matrix'!D$60+'Demand Base Matrix'!D$61*$AF$2),IF($C79="Explore",('Demand Base Matrix'!D$82*$AC$2*$AD$2*$AE$2*$AF$2+'Demand Base Matrix'!D$83*$W$2*$AC$2*$AD$2*$AE$2*$AF$2+'Demand Base Matrix'!D$84)))))</f>
        <v>10</v>
      </c>
      <c r="AH79">
        <f>IF($C79="Validate",(('Demand Base Matrix'!E$2+'Demand Base Matrix'!E$6)*$AC$2*$AD$2*$AE$2+('Demand Base Matrix'!E$3+'Demand Base Matrix'!E$4)*$W$2*$AD$2+'Demand Base Matrix'!E$5*$W$2*$AD$2*$AE$2+'Demand Base Matrix'!E$7+'Demand Base Matrix'!E$8*$AF$2),IF($C79="Integrate",(('Demand Base Matrix'!E$28+'Demand Base Matrix'!E$32)*$AC$2*$AD$2*$AE$2+('Demand Base Matrix'!E$29+'Demand Base Matrix'!E$30)*$W$2*$AD$2+'Demand Base Matrix'!E$31*$W$2*$AD$2*$AE$2+'Demand Base Matrix'!E$33+'Demand Base Matrix'!E$34*$AF$2),IF($C79="Bond",(('Demand Base Matrix'!E$55+'Demand Base Matrix'!E$59)*$AC$2*$AD$2*$AE$2+('Demand Base Matrix'!E$56+'Demand Base Matrix'!E$57)*$W$2*$AD$2+'Demand Base Matrix'!E$58*$W$2*$AD$2*$AE$2+'Demand Base Matrix'!E$60+'Demand Base Matrix'!E$61*$AF$2),IF($C79="Explore",('Demand Base Matrix'!E$82*$AC$2*$AD$2*$AE$2*$AF$2+'Demand Base Matrix'!E$83*$W$2*$AC$2*$AD$2*$AE$2*$AF$2+'Demand Base Matrix'!E$84)))))</f>
        <v>10</v>
      </c>
      <c r="AI79">
        <f>IF($C79="Validate",(('Demand Base Matrix'!F$2+'Demand Base Matrix'!F$6)*$AC$2*$AD$2*$AE$2+('Demand Base Matrix'!F$3+'Demand Base Matrix'!F$4)*$W$2*$AD$2+'Demand Base Matrix'!F$5*$W$2*$AD$2*$AE$2+'Demand Base Matrix'!F$7+'Demand Base Matrix'!F$8*$AF$2),IF($C79="Integrate",(('Demand Base Matrix'!F$28+'Demand Base Matrix'!F$32)*$AC$2*$AD$2*$AE$2+('Demand Base Matrix'!F$29+'Demand Base Matrix'!F$30)*$W$2*$AD$2+'Demand Base Matrix'!F$31*$W$2*$AD$2*$AE$2+'Demand Base Matrix'!F$33+'Demand Base Matrix'!F$34*$AF$2),IF($C79="Bond",(('Demand Base Matrix'!F$55+'Demand Base Matrix'!F$59)*$AC$2*$AD$2*$AE$2+('Demand Base Matrix'!F$56+'Demand Base Matrix'!F$57)*$W$2*$AD$2+'Demand Base Matrix'!F$58*$W$2*$AD$2*$AE$2+'Demand Base Matrix'!F$60+'Demand Base Matrix'!F$61*$AF$2),IF($C79="Explore",('Demand Base Matrix'!F$82*$AC$2*$AD$2*$AE$2*$AF$2+'Demand Base Matrix'!F$83*$W$2*$AC$2*$AD$2*$AE$2*$AF$2+'Demand Base Matrix'!F$84)))))</f>
        <v>10</v>
      </c>
      <c r="AJ79">
        <f>IF($C79="Validate",(('Demand Base Matrix'!G$2+'Demand Base Matrix'!G$6)*$AC$2*$AD$2*$AE$2+('Demand Base Matrix'!G$3+'Demand Base Matrix'!G$4)*$W$2*$AD$2+'Demand Base Matrix'!G$5*$W$2*$AD$2*$AE$2+'Demand Base Matrix'!G$7+'Demand Base Matrix'!G$8*$AF$2),IF($C79="Integrate",(('Demand Base Matrix'!G$28+'Demand Base Matrix'!G$32)*$AC$2*$AD$2*$AE$2+('Demand Base Matrix'!G$29+'Demand Base Matrix'!G$30)*$W$2*$AD$2+'Demand Base Matrix'!G$31*$W$2*$AD$2*$AE$2+'Demand Base Matrix'!G$33+'Demand Base Matrix'!G$34*$AF$2),IF($C79="Bond",(('Demand Base Matrix'!G$55+'Demand Base Matrix'!G$59)*$AC$2*$AD$2*$AE$2+('Demand Base Matrix'!G$56+'Demand Base Matrix'!G$57)*$W$2*$AD$2+'Demand Base Matrix'!G$58*$W$2*$AD$2*$AE$2+'Demand Base Matrix'!G$60+'Demand Base Matrix'!G$61*$AF$2),IF($C79="Explore",('Demand Base Matrix'!G$82*$AC$2*$AD$2*$AE$2*$AF$2+'Demand Base Matrix'!G$83*$W$2*$AC$2*$AD$2*$AE$2*$AF$2+'Demand Base Matrix'!G$84)))))</f>
        <v>50</v>
      </c>
      <c r="AK79">
        <f>IF($C79="Validate",(('Demand Base Matrix'!H$2+'Demand Base Matrix'!H$6)*$AC$2*$AD$2*$AE$2+('Demand Base Matrix'!H$3+'Demand Base Matrix'!H$4)*$W$2*$AD$2+'Demand Base Matrix'!H$5*$W$2*$AD$2*$AE$2+'Demand Base Matrix'!H$7+'Demand Base Matrix'!H$8*$AF$2),IF($C79="Integrate",(('Demand Base Matrix'!H$28+'Demand Base Matrix'!H$32)*$AC$2*$AD$2*$AE$2+('Demand Base Matrix'!H$29+'Demand Base Matrix'!H$30)*$W$2*$AD$2+'Demand Base Matrix'!H$31*$W$2*$AD$2*$AE$2+'Demand Base Matrix'!H$33+'Demand Base Matrix'!H$34*$AF$2),IF($C79="Bond",(('Demand Base Matrix'!H$55+'Demand Base Matrix'!H$59)*$AC$2*$AD$2*$AE$2+('Demand Base Matrix'!H$56+'Demand Base Matrix'!H$57)*$W$2*$AD$2+'Demand Base Matrix'!H$58*$W$2*$AD$2*$AE$2+'Demand Base Matrix'!H$60+'Demand Base Matrix'!H$61*$AF$2),IF($C79="Explore",('Demand Base Matrix'!H$82*$AC$2*$AD$2*$AE$2*$AF$2+'Demand Base Matrix'!H$83*$W$2*$AC$2*$AD$2*$AE$2*$AF$2+'Demand Base Matrix'!H$84)))))</f>
        <v>28</v>
      </c>
      <c r="AL79">
        <f>IF($C79="Validate",(('Demand Base Matrix'!I$2+'Demand Base Matrix'!I$6)*$AC$2*$AD$2*$AE$2+('Demand Base Matrix'!I$3+'Demand Base Matrix'!I$4)*$W$2*$AD$2+'Demand Base Matrix'!I$5*$W$2*$AD$2*$AE$2+'Demand Base Matrix'!I$7+'Demand Base Matrix'!I$8*$AF$2),IF($C79="Integrate",(('Demand Base Matrix'!I$28+'Demand Base Matrix'!I$32)*$AC$2*$AD$2*$AE$2+('Demand Base Matrix'!I$29+'Demand Base Matrix'!I$30)*$W$2*$AD$2+'Demand Base Matrix'!I$31*$W$2*$AD$2*$AE$2+'Demand Base Matrix'!I$33+'Demand Base Matrix'!I$34*$AF$2),IF($C79="Bond",(('Demand Base Matrix'!I$55+'Demand Base Matrix'!I$59)*$AC$2*$AD$2*$AE$2+('Demand Base Matrix'!I$56+'Demand Base Matrix'!I$57)*$W$2*$AD$2+'Demand Base Matrix'!I$58*$W$2*$AD$2*$AE$2+'Demand Base Matrix'!I$60+'Demand Base Matrix'!I$61*$AF$2),IF($C79="Explore",('Demand Base Matrix'!I$82*$AC$2*$AD$2*$AE$2*$AF$2+'Demand Base Matrix'!I$83*$W$2*$AC$2*$AD$2*$AE$2*$AF$2+'Demand Base Matrix'!I$84)))))</f>
        <v>8</v>
      </c>
      <c r="AM79">
        <f>IF($C79="Validate",(('Demand Base Matrix'!J$2+'Demand Base Matrix'!J$6)*$AC$2*$AD$2*$AE$2+('Demand Base Matrix'!J$3+'Demand Base Matrix'!J$4)*$W$2*$AD$2+'Demand Base Matrix'!J$5*$W$2*$AD$2*$AE$2+'Demand Base Matrix'!J$7+'Demand Base Matrix'!J$8*$AF$2),IF($C79="Integrate",(('Demand Base Matrix'!J$28+'Demand Base Matrix'!J$32)*$AC$2*$AD$2*$AE$2+('Demand Base Matrix'!J$29+'Demand Base Matrix'!J$30)*$W$2*$AD$2+'Demand Base Matrix'!J$31*$W$2*$AD$2*$AE$2+'Demand Base Matrix'!J$33+'Demand Base Matrix'!J$34*$AF$2),IF($C79="Bond",(('Demand Base Matrix'!J$55+'Demand Base Matrix'!J$59)*$AC$2*$AD$2*$AE$2+('Demand Base Matrix'!J$56+'Demand Base Matrix'!J$57)*$W$2*$AD$2+'Demand Base Matrix'!J$58*$W$2*$AD$2*$AE$2+'Demand Base Matrix'!J$60+'Demand Base Matrix'!J$61*$AF$2),IF($C79="Explore",('Demand Base Matrix'!J$82*$AC$2*$AD$2*$AE$2*$AF$2+'Demand Base Matrix'!J$83*$W$2*$AC$2*$AD$2*$AE$2*$AF$2+'Demand Base Matrix'!J$84)))))</f>
        <v>8</v>
      </c>
    </row>
    <row r="80" spans="1:95" x14ac:dyDescent="0.2">
      <c r="A80" t="s">
        <v>789</v>
      </c>
      <c r="B80" t="s">
        <v>206</v>
      </c>
      <c r="C80" t="s">
        <v>20</v>
      </c>
      <c r="D80" t="s">
        <v>53</v>
      </c>
      <c r="E80" t="s">
        <v>25</v>
      </c>
      <c r="F80" t="s">
        <v>198</v>
      </c>
      <c r="I80" t="str">
        <f>IFERROR(INDEX('Customer 360'!F:F,MATCH(B80,'Customer 360'!A:A,0)),"-")</f>
        <v>C</v>
      </c>
      <c r="J80">
        <v>1950</v>
      </c>
      <c r="K80"/>
      <c r="L80" s="4">
        <v>46267</v>
      </c>
      <c r="M80" s="4">
        <v>46267</v>
      </c>
      <c r="N80">
        <v>2026</v>
      </c>
      <c r="O80" s="4">
        <v>45901</v>
      </c>
      <c r="P80" t="s">
        <v>217</v>
      </c>
      <c r="Q80" s="18">
        <f t="shared" si="19"/>
        <v>45901</v>
      </c>
      <c r="R80" s="18">
        <f>IFERROR(IF(M80&lt;&gt;"",M80,IF(L80&lt;&gt;"",L80,INDEX('CSM RDD'!B:B,MATCH(B80,'CSM RDD'!A:A,0)))),"-")</f>
        <v>46267</v>
      </c>
      <c r="S80" s="18">
        <f t="shared" si="21"/>
        <v>45901</v>
      </c>
      <c r="T80" s="18">
        <f t="shared" si="22"/>
        <v>46266</v>
      </c>
      <c r="U80" s="6">
        <f t="shared" si="23"/>
        <v>1950</v>
      </c>
      <c r="V80" s="18">
        <f t="shared" si="20"/>
        <v>45901</v>
      </c>
      <c r="W80">
        <f>IF(U80=0,1,IF(U80&lt;='Demand Base Matrix'!$K$3,'Demand Base Matrix'!$L$3,IF(U80&lt;='Demand Base Matrix'!$K$4,'Demand Base Matrix'!$L$4,IF(U80&lt;='Demand Base Matrix'!$K$5,'Demand Base Matrix'!$L$5,IF(U80&lt;='Demand Base Matrix'!$K$6,'Demand Base Matrix'!$L$6,IF(U80&lt;='Demand Base Matrix'!$K$7,'Demand Base Matrix'!$L$7))))))</f>
        <v>1</v>
      </c>
      <c r="X80" s="4">
        <f t="shared" si="24"/>
        <v>46266</v>
      </c>
      <c r="Y80" t="str">
        <f t="shared" si="25"/>
        <v>Dx</v>
      </c>
      <c r="Z80" t="s">
        <v>685</v>
      </c>
      <c r="AA80" t="s">
        <v>685</v>
      </c>
      <c r="AB80" t="s">
        <v>685</v>
      </c>
      <c r="AC80">
        <f>IFERROR(INDEX('Demand Base Matrix'!AM:AM,MATCH(Y80,'Demand Base Matrix'!AL:AL,0)),"-")</f>
        <v>1</v>
      </c>
      <c r="AD80">
        <f>IFERROR(INDEX('Demand Base Matrix'!AO:AO,MATCH(Z80,'Demand Base Matrix'!AN:AN,0)),1)</f>
        <v>1</v>
      </c>
      <c r="AE80">
        <f>IFERROR(INDEX('Demand Base Matrix'!AQ:AQ,MATCH(AA80,'Demand Base Matrix'!AP:AP,0)),1)</f>
        <v>1</v>
      </c>
      <c r="AF80">
        <f>IFERROR(INDEX('Demand Base Matrix'!AS:AS,MATCH(AB80,'Demand Base Matrix'!AR:AR,0)),1)</f>
        <v>1</v>
      </c>
      <c r="AG80">
        <f>IF($C80="Validate",(('Demand Base Matrix'!D$2+'Demand Base Matrix'!D$6)*$AC$2*$AD$2*$AE$2+('Demand Base Matrix'!D$3+'Demand Base Matrix'!D$4)*$W$2*$AD$2+'Demand Base Matrix'!D$5*$W$2*$AD$2*$AE$2+'Demand Base Matrix'!D$7+'Demand Base Matrix'!D$8*$AF$2),IF($C80="Integrate",(('Demand Base Matrix'!D$28+'Demand Base Matrix'!D$32)*$AC$2*$AD$2*$AE$2+('Demand Base Matrix'!D$29+'Demand Base Matrix'!D$30)*$W$2*$AD$2+'Demand Base Matrix'!D$31*$W$2*$AD$2*$AE$2+'Demand Base Matrix'!D$33+'Demand Base Matrix'!D$34*$AF$2),IF($C80="Bond",(('Demand Base Matrix'!D$55+'Demand Base Matrix'!D$59)*$AC$2*$AD$2*$AE$2+('Demand Base Matrix'!D$56+'Demand Base Matrix'!D$57)*$W$2*$AD$2+'Demand Base Matrix'!D$58*$W$2*$AD$2*$AE$2+'Demand Base Matrix'!D$60+'Demand Base Matrix'!D$61*$AF$2),IF($C80="Explore",('Demand Base Matrix'!D$82*$AC$2*$AD$2*$AE$2*$AF$2+'Demand Base Matrix'!D$83*$W$2*$AC$2*$AD$2*$AE$2*$AF$2+'Demand Base Matrix'!D$84)))))</f>
        <v>15</v>
      </c>
      <c r="AH80">
        <f>IF($C80="Validate",(('Demand Base Matrix'!E$2+'Demand Base Matrix'!E$6)*$AC$2*$AD$2*$AE$2+('Demand Base Matrix'!E$3+'Demand Base Matrix'!E$4)*$W$2*$AD$2+'Demand Base Matrix'!E$5*$W$2*$AD$2*$AE$2+'Demand Base Matrix'!E$7+'Demand Base Matrix'!E$8*$AF$2),IF($C80="Integrate",(('Demand Base Matrix'!E$28+'Demand Base Matrix'!E$32)*$AC$2*$AD$2*$AE$2+('Demand Base Matrix'!E$29+'Demand Base Matrix'!E$30)*$W$2*$AD$2+'Demand Base Matrix'!E$31*$W$2*$AD$2*$AE$2+'Demand Base Matrix'!E$33+'Demand Base Matrix'!E$34*$AF$2),IF($C80="Bond",(('Demand Base Matrix'!E$55+'Demand Base Matrix'!E$59)*$AC$2*$AD$2*$AE$2+('Demand Base Matrix'!E$56+'Demand Base Matrix'!E$57)*$W$2*$AD$2+'Demand Base Matrix'!E$58*$W$2*$AD$2*$AE$2+'Demand Base Matrix'!E$60+'Demand Base Matrix'!E$61*$AF$2),IF($C80="Explore",('Demand Base Matrix'!E$82*$AC$2*$AD$2*$AE$2*$AF$2+'Demand Base Matrix'!E$83*$W$2*$AC$2*$AD$2*$AE$2*$AF$2+'Demand Base Matrix'!E$84)))))</f>
        <v>15</v>
      </c>
      <c r="AI80">
        <f>IF($C80="Validate",(('Demand Base Matrix'!F$2+'Demand Base Matrix'!F$6)*$AC$2*$AD$2*$AE$2+('Demand Base Matrix'!F$3+'Demand Base Matrix'!F$4)*$W$2*$AD$2+'Demand Base Matrix'!F$5*$W$2*$AD$2*$AE$2+'Demand Base Matrix'!F$7+'Demand Base Matrix'!F$8*$AF$2),IF($C80="Integrate",(('Demand Base Matrix'!F$28+'Demand Base Matrix'!F$32)*$AC$2*$AD$2*$AE$2+('Demand Base Matrix'!F$29+'Demand Base Matrix'!F$30)*$W$2*$AD$2+'Demand Base Matrix'!F$31*$W$2*$AD$2*$AE$2+'Demand Base Matrix'!F$33+'Demand Base Matrix'!F$34*$AF$2),IF($C80="Bond",(('Demand Base Matrix'!F$55+'Demand Base Matrix'!F$59)*$AC$2*$AD$2*$AE$2+('Demand Base Matrix'!F$56+'Demand Base Matrix'!F$57)*$W$2*$AD$2+'Demand Base Matrix'!F$58*$W$2*$AD$2*$AE$2+'Demand Base Matrix'!F$60+'Demand Base Matrix'!F$61*$AF$2),IF($C80="Explore",('Demand Base Matrix'!F$82*$AC$2*$AD$2*$AE$2*$AF$2+'Demand Base Matrix'!F$83*$W$2*$AC$2*$AD$2*$AE$2*$AF$2+'Demand Base Matrix'!F$84)))))</f>
        <v>7</v>
      </c>
      <c r="AJ80">
        <f>IF($C80="Validate",(('Demand Base Matrix'!G$2+'Demand Base Matrix'!G$6)*$AC$2*$AD$2*$AE$2+('Demand Base Matrix'!G$3+'Demand Base Matrix'!G$4)*$W$2*$AD$2+'Demand Base Matrix'!G$5*$W$2*$AD$2*$AE$2+'Demand Base Matrix'!G$7+'Demand Base Matrix'!G$8*$AF$2),IF($C80="Integrate",(('Demand Base Matrix'!G$28+'Demand Base Matrix'!G$32)*$AC$2*$AD$2*$AE$2+('Demand Base Matrix'!G$29+'Demand Base Matrix'!G$30)*$W$2*$AD$2+'Demand Base Matrix'!G$31*$W$2*$AD$2*$AE$2+'Demand Base Matrix'!G$33+'Demand Base Matrix'!G$34*$AF$2),IF($C80="Bond",(('Demand Base Matrix'!G$55+'Demand Base Matrix'!G$59)*$AC$2*$AD$2*$AE$2+('Demand Base Matrix'!G$56+'Demand Base Matrix'!G$57)*$W$2*$AD$2+'Demand Base Matrix'!G$58*$W$2*$AD$2*$AE$2+'Demand Base Matrix'!G$60+'Demand Base Matrix'!G$61*$AF$2),IF($C80="Explore",('Demand Base Matrix'!G$82*$AC$2*$AD$2*$AE$2*$AF$2+'Demand Base Matrix'!G$83*$W$2*$AC$2*$AD$2*$AE$2*$AF$2+'Demand Base Matrix'!G$84)))))</f>
        <v>40</v>
      </c>
      <c r="AK80">
        <f>IF($C80="Validate",(('Demand Base Matrix'!H$2+'Demand Base Matrix'!H$6)*$AC$2*$AD$2*$AE$2+('Demand Base Matrix'!H$3+'Demand Base Matrix'!H$4)*$W$2*$AD$2+'Demand Base Matrix'!H$5*$W$2*$AD$2*$AE$2+'Demand Base Matrix'!H$7+'Demand Base Matrix'!H$8*$AF$2),IF($C80="Integrate",(('Demand Base Matrix'!H$28+'Demand Base Matrix'!H$32)*$AC$2*$AD$2*$AE$2+('Demand Base Matrix'!H$29+'Demand Base Matrix'!H$30)*$W$2*$AD$2+'Demand Base Matrix'!H$31*$W$2*$AD$2*$AE$2+'Demand Base Matrix'!H$33+'Demand Base Matrix'!H$34*$AF$2),IF($C80="Bond",(('Demand Base Matrix'!H$55+'Demand Base Matrix'!H$59)*$AC$2*$AD$2*$AE$2+('Demand Base Matrix'!H$56+'Demand Base Matrix'!H$57)*$W$2*$AD$2+'Demand Base Matrix'!H$58*$W$2*$AD$2*$AE$2+'Demand Base Matrix'!H$60+'Demand Base Matrix'!H$61*$AF$2),IF($C80="Explore",('Demand Base Matrix'!H$82*$AC$2*$AD$2*$AE$2*$AF$2+'Demand Base Matrix'!H$83*$W$2*$AC$2*$AD$2*$AE$2*$AF$2+'Demand Base Matrix'!H$84)))))</f>
        <v>60</v>
      </c>
      <c r="AL80">
        <f>IF($C80="Validate",(('Demand Base Matrix'!I$2+'Demand Base Matrix'!I$6)*$AC$2*$AD$2*$AE$2+('Demand Base Matrix'!I$3+'Demand Base Matrix'!I$4)*$W$2*$AD$2+'Demand Base Matrix'!I$5*$W$2*$AD$2*$AE$2+'Demand Base Matrix'!I$7+'Demand Base Matrix'!I$8*$AF$2),IF($C80="Integrate",(('Demand Base Matrix'!I$28+'Demand Base Matrix'!I$32)*$AC$2*$AD$2*$AE$2+('Demand Base Matrix'!I$29+'Demand Base Matrix'!I$30)*$W$2*$AD$2+'Demand Base Matrix'!I$31*$W$2*$AD$2*$AE$2+'Demand Base Matrix'!I$33+'Demand Base Matrix'!I$34*$AF$2),IF($C80="Bond",(('Demand Base Matrix'!I$55+'Demand Base Matrix'!I$59)*$AC$2*$AD$2*$AE$2+('Demand Base Matrix'!I$56+'Demand Base Matrix'!I$57)*$W$2*$AD$2+'Demand Base Matrix'!I$58*$W$2*$AD$2*$AE$2+'Demand Base Matrix'!I$60+'Demand Base Matrix'!I$61*$AF$2),IF($C80="Explore",('Demand Base Matrix'!I$82*$AC$2*$AD$2*$AE$2*$AF$2+'Demand Base Matrix'!I$83*$W$2*$AC$2*$AD$2*$AE$2*$AF$2+'Demand Base Matrix'!I$84)))))</f>
        <v>10</v>
      </c>
      <c r="AM80">
        <f>IF($C80="Validate",(('Demand Base Matrix'!J$2+'Demand Base Matrix'!J$6)*$AC$2*$AD$2*$AE$2+('Demand Base Matrix'!J$3+'Demand Base Matrix'!J$4)*$W$2*$AD$2+'Demand Base Matrix'!J$5*$W$2*$AD$2*$AE$2+'Demand Base Matrix'!J$7+'Demand Base Matrix'!J$8*$AF$2),IF($C80="Integrate",(('Demand Base Matrix'!J$28+'Demand Base Matrix'!J$32)*$AC$2*$AD$2*$AE$2+('Demand Base Matrix'!J$29+'Demand Base Matrix'!J$30)*$W$2*$AD$2+'Demand Base Matrix'!J$31*$W$2*$AD$2*$AE$2+'Demand Base Matrix'!J$33+'Demand Base Matrix'!J$34*$AF$2),IF($C80="Bond",(('Demand Base Matrix'!J$55+'Demand Base Matrix'!J$59)*$AC$2*$AD$2*$AE$2+('Demand Base Matrix'!J$56+'Demand Base Matrix'!J$57)*$W$2*$AD$2+'Demand Base Matrix'!J$58*$W$2*$AD$2*$AE$2+'Demand Base Matrix'!J$60+'Demand Base Matrix'!J$61*$AF$2),IF($C80="Explore",('Demand Base Matrix'!J$82*$AC$2*$AD$2*$AE$2*$AF$2+'Demand Base Matrix'!J$83*$W$2*$AC$2*$AD$2*$AE$2*$AF$2+'Demand Base Matrix'!J$84)))))</f>
        <v>4</v>
      </c>
    </row>
    <row r="81" spans="1:39" x14ac:dyDescent="0.2">
      <c r="A81" t="s">
        <v>790</v>
      </c>
      <c r="B81" t="s">
        <v>101</v>
      </c>
      <c r="C81" t="s">
        <v>23</v>
      </c>
      <c r="D81" t="s">
        <v>177</v>
      </c>
      <c r="E81" t="s">
        <v>117</v>
      </c>
      <c r="F81" t="s">
        <v>187</v>
      </c>
      <c r="I81" t="str">
        <f>IFERROR(INDEX('Customer 360'!F:F,MATCH(B81,'Customer 360'!A:A,0)),"-")</f>
        <v>C</v>
      </c>
      <c r="J81">
        <v>9750</v>
      </c>
      <c r="K81"/>
      <c r="L81" s="4">
        <v>46244</v>
      </c>
      <c r="M81" s="4">
        <v>46244</v>
      </c>
      <c r="N81">
        <v>2026</v>
      </c>
      <c r="O81" s="4">
        <v>46082</v>
      </c>
      <c r="P81" t="s">
        <v>217</v>
      </c>
      <c r="Q81" s="18">
        <f t="shared" si="19"/>
        <v>46082</v>
      </c>
      <c r="R81" s="18">
        <f>IFERROR(IF(M81&lt;&gt;"",M81,IF(L81&lt;&gt;"",L81,INDEX('CSM RDD'!B:B,MATCH(B81,'CSM RDD'!A:A,0)))),"-")</f>
        <v>46244</v>
      </c>
      <c r="S81" s="18">
        <f t="shared" si="21"/>
        <v>46082</v>
      </c>
      <c r="T81" s="18">
        <f t="shared" si="22"/>
        <v>46235</v>
      </c>
      <c r="U81" s="6">
        <f t="shared" si="23"/>
        <v>9750</v>
      </c>
      <c r="V81" s="18">
        <f t="shared" si="20"/>
        <v>46082</v>
      </c>
      <c r="W81">
        <f>IF(U81=0,1,IF(U81&lt;='Demand Base Matrix'!$K$3,'Demand Base Matrix'!$L$3,IF(U81&lt;='Demand Base Matrix'!$K$4,'Demand Base Matrix'!$L$4,IF(U81&lt;='Demand Base Matrix'!$K$5,'Demand Base Matrix'!$L$5,IF(U81&lt;='Demand Base Matrix'!$K$6,'Demand Base Matrix'!$L$6,IF(U81&lt;='Demand Base Matrix'!$K$7,'Demand Base Matrix'!$L$7))))))</f>
        <v>1.25</v>
      </c>
      <c r="X81" s="4">
        <f t="shared" si="24"/>
        <v>46235</v>
      </c>
      <c r="Y81" t="str">
        <f t="shared" si="25"/>
        <v>Dx</v>
      </c>
      <c r="Z81" t="s">
        <v>685</v>
      </c>
      <c r="AA81" t="s">
        <v>685</v>
      </c>
      <c r="AB81" t="s">
        <v>685</v>
      </c>
      <c r="AC81">
        <f>IFERROR(INDEX('Demand Base Matrix'!AM:AM,MATCH(Y81,'Demand Base Matrix'!AL:AL,0)),"-")</f>
        <v>1</v>
      </c>
      <c r="AD81">
        <f>IFERROR(INDEX('Demand Base Matrix'!AO:AO,MATCH(Z81,'Demand Base Matrix'!AN:AN,0)),1)</f>
        <v>1</v>
      </c>
      <c r="AE81">
        <f>IFERROR(INDEX('Demand Base Matrix'!AQ:AQ,MATCH(AA81,'Demand Base Matrix'!AP:AP,0)),1)</f>
        <v>1</v>
      </c>
      <c r="AF81">
        <f>IFERROR(INDEX('Demand Base Matrix'!AS:AS,MATCH(AB81,'Demand Base Matrix'!AR:AR,0)),1)</f>
        <v>1</v>
      </c>
      <c r="AG81">
        <f>IF($C81="Validate",(('Demand Base Matrix'!D$2+'Demand Base Matrix'!D$6)*$AC$2*$AD$2*$AE$2+('Demand Base Matrix'!D$3+'Demand Base Matrix'!D$4)*$W$2*$AD$2+'Demand Base Matrix'!D$5*$W$2*$AD$2*$AE$2+'Demand Base Matrix'!D$7+'Demand Base Matrix'!D$8*$AF$2),IF($C81="Integrate",(('Demand Base Matrix'!D$28+'Demand Base Matrix'!D$32)*$AC$2*$AD$2*$AE$2+('Demand Base Matrix'!D$29+'Demand Base Matrix'!D$30)*$W$2*$AD$2+'Demand Base Matrix'!D$31*$W$2*$AD$2*$AE$2+'Demand Base Matrix'!D$33+'Demand Base Matrix'!D$34*$AF$2),IF($C81="Bond",(('Demand Base Matrix'!D$55+'Demand Base Matrix'!D$59)*$AC$2*$AD$2*$AE$2+('Demand Base Matrix'!D$56+'Demand Base Matrix'!D$57)*$W$2*$AD$2+'Demand Base Matrix'!D$58*$W$2*$AD$2*$AE$2+'Demand Base Matrix'!D$60+'Demand Base Matrix'!D$61*$AF$2),IF($C81="Explore",('Demand Base Matrix'!D$82*$AC$2*$AD$2*$AE$2*$AF$2+'Demand Base Matrix'!D$83*$W$2*$AC$2*$AD$2*$AE$2*$AF$2+'Demand Base Matrix'!D$84)))))</f>
        <v>10</v>
      </c>
      <c r="AH81">
        <f>IF($C81="Validate",(('Demand Base Matrix'!E$2+'Demand Base Matrix'!E$6)*$AC$2*$AD$2*$AE$2+('Demand Base Matrix'!E$3+'Demand Base Matrix'!E$4)*$W$2*$AD$2+'Demand Base Matrix'!E$5*$W$2*$AD$2*$AE$2+'Demand Base Matrix'!E$7+'Demand Base Matrix'!E$8*$AF$2),IF($C81="Integrate",(('Demand Base Matrix'!E$28+'Demand Base Matrix'!E$32)*$AC$2*$AD$2*$AE$2+('Demand Base Matrix'!E$29+'Demand Base Matrix'!E$30)*$W$2*$AD$2+'Demand Base Matrix'!E$31*$W$2*$AD$2*$AE$2+'Demand Base Matrix'!E$33+'Demand Base Matrix'!E$34*$AF$2),IF($C81="Bond",(('Demand Base Matrix'!E$55+'Demand Base Matrix'!E$59)*$AC$2*$AD$2*$AE$2+('Demand Base Matrix'!E$56+'Demand Base Matrix'!E$57)*$W$2*$AD$2+'Demand Base Matrix'!E$58*$W$2*$AD$2*$AE$2+'Demand Base Matrix'!E$60+'Demand Base Matrix'!E$61*$AF$2),IF($C81="Explore",('Demand Base Matrix'!E$82*$AC$2*$AD$2*$AE$2*$AF$2+'Demand Base Matrix'!E$83*$W$2*$AC$2*$AD$2*$AE$2*$AF$2+'Demand Base Matrix'!E$84)))))</f>
        <v>10</v>
      </c>
      <c r="AI81">
        <f>IF($C81="Validate",(('Demand Base Matrix'!F$2+'Demand Base Matrix'!F$6)*$AC$2*$AD$2*$AE$2+('Demand Base Matrix'!F$3+'Demand Base Matrix'!F$4)*$W$2*$AD$2+'Demand Base Matrix'!F$5*$W$2*$AD$2*$AE$2+'Demand Base Matrix'!F$7+'Demand Base Matrix'!F$8*$AF$2),IF($C81="Integrate",(('Demand Base Matrix'!F$28+'Demand Base Matrix'!F$32)*$AC$2*$AD$2*$AE$2+('Demand Base Matrix'!F$29+'Demand Base Matrix'!F$30)*$W$2*$AD$2+'Demand Base Matrix'!F$31*$W$2*$AD$2*$AE$2+'Demand Base Matrix'!F$33+'Demand Base Matrix'!F$34*$AF$2),IF($C81="Bond",(('Demand Base Matrix'!F$55+'Demand Base Matrix'!F$59)*$AC$2*$AD$2*$AE$2+('Demand Base Matrix'!F$56+'Demand Base Matrix'!F$57)*$W$2*$AD$2+'Demand Base Matrix'!F$58*$W$2*$AD$2*$AE$2+'Demand Base Matrix'!F$60+'Demand Base Matrix'!F$61*$AF$2),IF($C81="Explore",('Demand Base Matrix'!F$82*$AC$2*$AD$2*$AE$2*$AF$2+'Demand Base Matrix'!F$83*$W$2*$AC$2*$AD$2*$AE$2*$AF$2+'Demand Base Matrix'!F$84)))))</f>
        <v>10</v>
      </c>
      <c r="AJ81">
        <f>IF($C81="Validate",(('Demand Base Matrix'!G$2+'Demand Base Matrix'!G$6)*$AC$2*$AD$2*$AE$2+('Demand Base Matrix'!G$3+'Demand Base Matrix'!G$4)*$W$2*$AD$2+'Demand Base Matrix'!G$5*$W$2*$AD$2*$AE$2+'Demand Base Matrix'!G$7+'Demand Base Matrix'!G$8*$AF$2),IF($C81="Integrate",(('Demand Base Matrix'!G$28+'Demand Base Matrix'!G$32)*$AC$2*$AD$2*$AE$2+('Demand Base Matrix'!G$29+'Demand Base Matrix'!G$30)*$W$2*$AD$2+'Demand Base Matrix'!G$31*$W$2*$AD$2*$AE$2+'Demand Base Matrix'!G$33+'Demand Base Matrix'!G$34*$AF$2),IF($C81="Bond",(('Demand Base Matrix'!G$55+'Demand Base Matrix'!G$59)*$AC$2*$AD$2*$AE$2+('Demand Base Matrix'!G$56+'Demand Base Matrix'!G$57)*$W$2*$AD$2+'Demand Base Matrix'!G$58*$W$2*$AD$2*$AE$2+'Demand Base Matrix'!G$60+'Demand Base Matrix'!G$61*$AF$2),IF($C81="Explore",('Demand Base Matrix'!G$82*$AC$2*$AD$2*$AE$2*$AF$2+'Demand Base Matrix'!G$83*$W$2*$AC$2*$AD$2*$AE$2*$AF$2+'Demand Base Matrix'!G$84)))))</f>
        <v>50</v>
      </c>
      <c r="AK81">
        <f>IF($C81="Validate",(('Demand Base Matrix'!H$2+'Demand Base Matrix'!H$6)*$AC$2*$AD$2*$AE$2+('Demand Base Matrix'!H$3+'Demand Base Matrix'!H$4)*$W$2*$AD$2+'Demand Base Matrix'!H$5*$W$2*$AD$2*$AE$2+'Demand Base Matrix'!H$7+'Demand Base Matrix'!H$8*$AF$2),IF($C81="Integrate",(('Demand Base Matrix'!H$28+'Demand Base Matrix'!H$32)*$AC$2*$AD$2*$AE$2+('Demand Base Matrix'!H$29+'Demand Base Matrix'!H$30)*$W$2*$AD$2+'Demand Base Matrix'!H$31*$W$2*$AD$2*$AE$2+'Demand Base Matrix'!H$33+'Demand Base Matrix'!H$34*$AF$2),IF($C81="Bond",(('Demand Base Matrix'!H$55+'Demand Base Matrix'!H$59)*$AC$2*$AD$2*$AE$2+('Demand Base Matrix'!H$56+'Demand Base Matrix'!H$57)*$W$2*$AD$2+'Demand Base Matrix'!H$58*$W$2*$AD$2*$AE$2+'Demand Base Matrix'!H$60+'Demand Base Matrix'!H$61*$AF$2),IF($C81="Explore",('Demand Base Matrix'!H$82*$AC$2*$AD$2*$AE$2*$AF$2+'Demand Base Matrix'!H$83*$W$2*$AC$2*$AD$2*$AE$2*$AF$2+'Demand Base Matrix'!H$84)))))</f>
        <v>28</v>
      </c>
      <c r="AL81">
        <f>IF($C81="Validate",(('Demand Base Matrix'!I$2+'Demand Base Matrix'!I$6)*$AC$2*$AD$2*$AE$2+('Demand Base Matrix'!I$3+'Demand Base Matrix'!I$4)*$W$2*$AD$2+'Demand Base Matrix'!I$5*$W$2*$AD$2*$AE$2+'Demand Base Matrix'!I$7+'Demand Base Matrix'!I$8*$AF$2),IF($C81="Integrate",(('Demand Base Matrix'!I$28+'Demand Base Matrix'!I$32)*$AC$2*$AD$2*$AE$2+('Demand Base Matrix'!I$29+'Demand Base Matrix'!I$30)*$W$2*$AD$2+'Demand Base Matrix'!I$31*$W$2*$AD$2*$AE$2+'Demand Base Matrix'!I$33+'Demand Base Matrix'!I$34*$AF$2),IF($C81="Bond",(('Demand Base Matrix'!I$55+'Demand Base Matrix'!I$59)*$AC$2*$AD$2*$AE$2+('Demand Base Matrix'!I$56+'Demand Base Matrix'!I$57)*$W$2*$AD$2+'Demand Base Matrix'!I$58*$W$2*$AD$2*$AE$2+'Demand Base Matrix'!I$60+'Demand Base Matrix'!I$61*$AF$2),IF($C81="Explore",('Demand Base Matrix'!I$82*$AC$2*$AD$2*$AE$2*$AF$2+'Demand Base Matrix'!I$83*$W$2*$AC$2*$AD$2*$AE$2*$AF$2+'Demand Base Matrix'!I$84)))))</f>
        <v>8</v>
      </c>
      <c r="AM81">
        <f>IF($C81="Validate",(('Demand Base Matrix'!J$2+'Demand Base Matrix'!J$6)*$AC$2*$AD$2*$AE$2+('Demand Base Matrix'!J$3+'Demand Base Matrix'!J$4)*$W$2*$AD$2+'Demand Base Matrix'!J$5*$W$2*$AD$2*$AE$2+'Demand Base Matrix'!J$7+'Demand Base Matrix'!J$8*$AF$2),IF($C81="Integrate",(('Demand Base Matrix'!J$28+'Demand Base Matrix'!J$32)*$AC$2*$AD$2*$AE$2+('Demand Base Matrix'!J$29+'Demand Base Matrix'!J$30)*$W$2*$AD$2+'Demand Base Matrix'!J$31*$W$2*$AD$2*$AE$2+'Demand Base Matrix'!J$33+'Demand Base Matrix'!J$34*$AF$2),IF($C81="Bond",(('Demand Base Matrix'!J$55+'Demand Base Matrix'!J$59)*$AC$2*$AD$2*$AE$2+('Demand Base Matrix'!J$56+'Demand Base Matrix'!J$57)*$W$2*$AD$2+'Demand Base Matrix'!J$58*$W$2*$AD$2*$AE$2+'Demand Base Matrix'!J$60+'Demand Base Matrix'!J$61*$AF$2),IF($C81="Explore",('Demand Base Matrix'!J$82*$AC$2*$AD$2*$AE$2*$AF$2+'Demand Base Matrix'!J$83*$W$2*$AC$2*$AD$2*$AE$2*$AF$2+'Demand Base Matrix'!J$84)))))</f>
        <v>8</v>
      </c>
    </row>
    <row r="82" spans="1:39" x14ac:dyDescent="0.2">
      <c r="A82" t="s">
        <v>791</v>
      </c>
      <c r="B82" t="s">
        <v>208</v>
      </c>
      <c r="C82" t="s">
        <v>20</v>
      </c>
      <c r="D82" t="s">
        <v>177</v>
      </c>
      <c r="E82" t="s">
        <v>116</v>
      </c>
      <c r="F82" t="s">
        <v>198</v>
      </c>
      <c r="I82" t="str">
        <f>IFERROR(INDEX('Customer 360'!F:F,MATCH(B82,'Customer 360'!A:A,0)),"-")</f>
        <v>D</v>
      </c>
      <c r="J82">
        <v>4440</v>
      </c>
      <c r="K82"/>
      <c r="L82" s="4">
        <v>46267</v>
      </c>
      <c r="M82" s="4">
        <v>46267</v>
      </c>
      <c r="N82">
        <v>2026</v>
      </c>
      <c r="O82" s="4">
        <v>46023</v>
      </c>
      <c r="P82" t="s">
        <v>217</v>
      </c>
      <c r="Q82" s="18">
        <f t="shared" si="19"/>
        <v>46023</v>
      </c>
      <c r="R82" s="18">
        <f>IFERROR(IF(M82&lt;&gt;"",M82,IF(L82&lt;&gt;"",L82,INDEX('CSM RDD'!B:B,MATCH(B82,'CSM RDD'!A:A,0)))),"-")</f>
        <v>46267</v>
      </c>
      <c r="S82" s="18">
        <f t="shared" si="21"/>
        <v>46023</v>
      </c>
      <c r="T82" s="18">
        <f t="shared" si="22"/>
        <v>46266</v>
      </c>
      <c r="U82" s="6">
        <f t="shared" si="23"/>
        <v>4440</v>
      </c>
      <c r="V82" s="18">
        <f t="shared" si="20"/>
        <v>46023</v>
      </c>
      <c r="W82">
        <f>IF(U82=0,1,IF(U82&lt;='Demand Base Matrix'!$K$3,'Demand Base Matrix'!$L$3,IF(U82&lt;='Demand Base Matrix'!$K$4,'Demand Base Matrix'!$L$4,IF(U82&lt;='Demand Base Matrix'!$K$5,'Demand Base Matrix'!$L$5,IF(U82&lt;='Demand Base Matrix'!$K$6,'Demand Base Matrix'!$L$6,IF(U82&lt;='Demand Base Matrix'!$K$7,'Demand Base Matrix'!$L$7))))))</f>
        <v>1</v>
      </c>
      <c r="X82" s="4">
        <f t="shared" si="24"/>
        <v>46266</v>
      </c>
      <c r="Y82" t="str">
        <f t="shared" si="25"/>
        <v>Dx</v>
      </c>
      <c r="Z82" t="s">
        <v>685</v>
      </c>
      <c r="AA82" t="s">
        <v>685</v>
      </c>
      <c r="AB82" t="s">
        <v>685</v>
      </c>
      <c r="AC82">
        <f>IFERROR(INDEX('Demand Base Matrix'!AM:AM,MATCH(Y82,'Demand Base Matrix'!AL:AL,0)),"-")</f>
        <v>1</v>
      </c>
      <c r="AD82">
        <f>IFERROR(INDEX('Demand Base Matrix'!AO:AO,MATCH(Z82,'Demand Base Matrix'!AN:AN,0)),1)</f>
        <v>1</v>
      </c>
      <c r="AE82">
        <f>IFERROR(INDEX('Demand Base Matrix'!AQ:AQ,MATCH(AA82,'Demand Base Matrix'!AP:AP,0)),1)</f>
        <v>1</v>
      </c>
      <c r="AF82">
        <f>IFERROR(INDEX('Demand Base Matrix'!AS:AS,MATCH(AB82,'Demand Base Matrix'!AR:AR,0)),1)</f>
        <v>1</v>
      </c>
      <c r="AG82">
        <f>IF($C82="Validate",(('Demand Base Matrix'!D$2+'Demand Base Matrix'!D$6)*$AC$2*$AD$2*$AE$2+('Demand Base Matrix'!D$3+'Demand Base Matrix'!D$4)*$W$2*$AD$2+'Demand Base Matrix'!D$5*$W$2*$AD$2*$AE$2+'Demand Base Matrix'!D$7+'Demand Base Matrix'!D$8*$AF$2),IF($C82="Integrate",(('Demand Base Matrix'!D$28+'Demand Base Matrix'!D$32)*$AC$2*$AD$2*$AE$2+('Demand Base Matrix'!D$29+'Demand Base Matrix'!D$30)*$W$2*$AD$2+'Demand Base Matrix'!D$31*$W$2*$AD$2*$AE$2+'Demand Base Matrix'!D$33+'Demand Base Matrix'!D$34*$AF$2),IF($C82="Bond",(('Demand Base Matrix'!D$55+'Demand Base Matrix'!D$59)*$AC$2*$AD$2*$AE$2+('Demand Base Matrix'!D$56+'Demand Base Matrix'!D$57)*$W$2*$AD$2+'Demand Base Matrix'!D$58*$W$2*$AD$2*$AE$2+'Demand Base Matrix'!D$60+'Demand Base Matrix'!D$61*$AF$2),IF($C82="Explore",('Demand Base Matrix'!D$82*$AC$2*$AD$2*$AE$2*$AF$2+'Demand Base Matrix'!D$83*$W$2*$AC$2*$AD$2*$AE$2*$AF$2+'Demand Base Matrix'!D$84)))))</f>
        <v>15</v>
      </c>
      <c r="AH82">
        <f>IF($C82="Validate",(('Demand Base Matrix'!E$2+'Demand Base Matrix'!E$6)*$AC$2*$AD$2*$AE$2+('Demand Base Matrix'!E$3+'Demand Base Matrix'!E$4)*$W$2*$AD$2+'Demand Base Matrix'!E$5*$W$2*$AD$2*$AE$2+'Demand Base Matrix'!E$7+'Demand Base Matrix'!E$8*$AF$2),IF($C82="Integrate",(('Demand Base Matrix'!E$28+'Demand Base Matrix'!E$32)*$AC$2*$AD$2*$AE$2+('Demand Base Matrix'!E$29+'Demand Base Matrix'!E$30)*$W$2*$AD$2+'Demand Base Matrix'!E$31*$W$2*$AD$2*$AE$2+'Demand Base Matrix'!E$33+'Demand Base Matrix'!E$34*$AF$2),IF($C82="Bond",(('Demand Base Matrix'!E$55+'Demand Base Matrix'!E$59)*$AC$2*$AD$2*$AE$2+('Demand Base Matrix'!E$56+'Demand Base Matrix'!E$57)*$W$2*$AD$2+'Demand Base Matrix'!E$58*$W$2*$AD$2*$AE$2+'Demand Base Matrix'!E$60+'Demand Base Matrix'!E$61*$AF$2),IF($C82="Explore",('Demand Base Matrix'!E$82*$AC$2*$AD$2*$AE$2*$AF$2+'Demand Base Matrix'!E$83*$W$2*$AC$2*$AD$2*$AE$2*$AF$2+'Demand Base Matrix'!E$84)))))</f>
        <v>15</v>
      </c>
      <c r="AI82">
        <f>IF($C82="Validate",(('Demand Base Matrix'!F$2+'Demand Base Matrix'!F$6)*$AC$2*$AD$2*$AE$2+('Demand Base Matrix'!F$3+'Demand Base Matrix'!F$4)*$W$2*$AD$2+'Demand Base Matrix'!F$5*$W$2*$AD$2*$AE$2+'Demand Base Matrix'!F$7+'Demand Base Matrix'!F$8*$AF$2),IF($C82="Integrate",(('Demand Base Matrix'!F$28+'Demand Base Matrix'!F$32)*$AC$2*$AD$2*$AE$2+('Demand Base Matrix'!F$29+'Demand Base Matrix'!F$30)*$W$2*$AD$2+'Demand Base Matrix'!F$31*$W$2*$AD$2*$AE$2+'Demand Base Matrix'!F$33+'Demand Base Matrix'!F$34*$AF$2),IF($C82="Bond",(('Demand Base Matrix'!F$55+'Demand Base Matrix'!F$59)*$AC$2*$AD$2*$AE$2+('Demand Base Matrix'!F$56+'Demand Base Matrix'!F$57)*$W$2*$AD$2+'Demand Base Matrix'!F$58*$W$2*$AD$2*$AE$2+'Demand Base Matrix'!F$60+'Demand Base Matrix'!F$61*$AF$2),IF($C82="Explore",('Demand Base Matrix'!F$82*$AC$2*$AD$2*$AE$2*$AF$2+'Demand Base Matrix'!F$83*$W$2*$AC$2*$AD$2*$AE$2*$AF$2+'Demand Base Matrix'!F$84)))))</f>
        <v>7</v>
      </c>
      <c r="AJ82">
        <f>IF($C82="Validate",(('Demand Base Matrix'!G$2+'Demand Base Matrix'!G$6)*$AC$2*$AD$2*$AE$2+('Demand Base Matrix'!G$3+'Demand Base Matrix'!G$4)*$W$2*$AD$2+'Demand Base Matrix'!G$5*$W$2*$AD$2*$AE$2+'Demand Base Matrix'!G$7+'Demand Base Matrix'!G$8*$AF$2),IF($C82="Integrate",(('Demand Base Matrix'!G$28+'Demand Base Matrix'!G$32)*$AC$2*$AD$2*$AE$2+('Demand Base Matrix'!G$29+'Demand Base Matrix'!G$30)*$W$2*$AD$2+'Demand Base Matrix'!G$31*$W$2*$AD$2*$AE$2+'Demand Base Matrix'!G$33+'Demand Base Matrix'!G$34*$AF$2),IF($C82="Bond",(('Demand Base Matrix'!G$55+'Demand Base Matrix'!G$59)*$AC$2*$AD$2*$AE$2+('Demand Base Matrix'!G$56+'Demand Base Matrix'!G$57)*$W$2*$AD$2+'Demand Base Matrix'!G$58*$W$2*$AD$2*$AE$2+'Demand Base Matrix'!G$60+'Demand Base Matrix'!G$61*$AF$2),IF($C82="Explore",('Demand Base Matrix'!G$82*$AC$2*$AD$2*$AE$2*$AF$2+'Demand Base Matrix'!G$83*$W$2*$AC$2*$AD$2*$AE$2*$AF$2+'Demand Base Matrix'!G$84)))))</f>
        <v>40</v>
      </c>
      <c r="AK82">
        <f>IF($C82="Validate",(('Demand Base Matrix'!H$2+'Demand Base Matrix'!H$6)*$AC$2*$AD$2*$AE$2+('Demand Base Matrix'!H$3+'Demand Base Matrix'!H$4)*$W$2*$AD$2+'Demand Base Matrix'!H$5*$W$2*$AD$2*$AE$2+'Demand Base Matrix'!H$7+'Demand Base Matrix'!H$8*$AF$2),IF($C82="Integrate",(('Demand Base Matrix'!H$28+'Demand Base Matrix'!H$32)*$AC$2*$AD$2*$AE$2+('Demand Base Matrix'!H$29+'Demand Base Matrix'!H$30)*$W$2*$AD$2+'Demand Base Matrix'!H$31*$W$2*$AD$2*$AE$2+'Demand Base Matrix'!H$33+'Demand Base Matrix'!H$34*$AF$2),IF($C82="Bond",(('Demand Base Matrix'!H$55+'Demand Base Matrix'!H$59)*$AC$2*$AD$2*$AE$2+('Demand Base Matrix'!H$56+'Demand Base Matrix'!H$57)*$W$2*$AD$2+'Demand Base Matrix'!H$58*$W$2*$AD$2*$AE$2+'Demand Base Matrix'!H$60+'Demand Base Matrix'!H$61*$AF$2),IF($C82="Explore",('Demand Base Matrix'!H$82*$AC$2*$AD$2*$AE$2*$AF$2+'Demand Base Matrix'!H$83*$W$2*$AC$2*$AD$2*$AE$2*$AF$2+'Demand Base Matrix'!H$84)))))</f>
        <v>60</v>
      </c>
      <c r="AL82">
        <f>IF($C82="Validate",(('Demand Base Matrix'!I$2+'Demand Base Matrix'!I$6)*$AC$2*$AD$2*$AE$2+('Demand Base Matrix'!I$3+'Demand Base Matrix'!I$4)*$W$2*$AD$2+'Demand Base Matrix'!I$5*$W$2*$AD$2*$AE$2+'Demand Base Matrix'!I$7+'Demand Base Matrix'!I$8*$AF$2),IF($C82="Integrate",(('Demand Base Matrix'!I$28+'Demand Base Matrix'!I$32)*$AC$2*$AD$2*$AE$2+('Demand Base Matrix'!I$29+'Demand Base Matrix'!I$30)*$W$2*$AD$2+'Demand Base Matrix'!I$31*$W$2*$AD$2*$AE$2+'Demand Base Matrix'!I$33+'Demand Base Matrix'!I$34*$AF$2),IF($C82="Bond",(('Demand Base Matrix'!I$55+'Demand Base Matrix'!I$59)*$AC$2*$AD$2*$AE$2+('Demand Base Matrix'!I$56+'Demand Base Matrix'!I$57)*$W$2*$AD$2+'Demand Base Matrix'!I$58*$W$2*$AD$2*$AE$2+'Demand Base Matrix'!I$60+'Demand Base Matrix'!I$61*$AF$2),IF($C82="Explore",('Demand Base Matrix'!I$82*$AC$2*$AD$2*$AE$2*$AF$2+'Demand Base Matrix'!I$83*$W$2*$AC$2*$AD$2*$AE$2*$AF$2+'Demand Base Matrix'!I$84)))))</f>
        <v>10</v>
      </c>
      <c r="AM82">
        <f>IF($C82="Validate",(('Demand Base Matrix'!J$2+'Demand Base Matrix'!J$6)*$AC$2*$AD$2*$AE$2+('Demand Base Matrix'!J$3+'Demand Base Matrix'!J$4)*$W$2*$AD$2+'Demand Base Matrix'!J$5*$W$2*$AD$2*$AE$2+'Demand Base Matrix'!J$7+'Demand Base Matrix'!J$8*$AF$2),IF($C82="Integrate",(('Demand Base Matrix'!J$28+'Demand Base Matrix'!J$32)*$AC$2*$AD$2*$AE$2+('Demand Base Matrix'!J$29+'Demand Base Matrix'!J$30)*$W$2*$AD$2+'Demand Base Matrix'!J$31*$W$2*$AD$2*$AE$2+'Demand Base Matrix'!J$33+'Demand Base Matrix'!J$34*$AF$2),IF($C82="Bond",(('Demand Base Matrix'!J$55+'Demand Base Matrix'!J$59)*$AC$2*$AD$2*$AE$2+('Demand Base Matrix'!J$56+'Demand Base Matrix'!J$57)*$W$2*$AD$2+'Demand Base Matrix'!J$58*$W$2*$AD$2*$AE$2+'Demand Base Matrix'!J$60+'Demand Base Matrix'!J$61*$AF$2),IF($C82="Explore",('Demand Base Matrix'!J$82*$AC$2*$AD$2*$AE$2*$AF$2+'Demand Base Matrix'!J$83*$W$2*$AC$2*$AD$2*$AE$2*$AF$2+'Demand Base Matrix'!J$84)))))</f>
        <v>4</v>
      </c>
    </row>
    <row r="83" spans="1:39" x14ac:dyDescent="0.2">
      <c r="A83" t="s">
        <v>792</v>
      </c>
      <c r="B83" t="s">
        <v>102</v>
      </c>
      <c r="C83" t="s">
        <v>23</v>
      </c>
      <c r="D83" t="s">
        <v>178</v>
      </c>
      <c r="E83" t="s">
        <v>115</v>
      </c>
      <c r="F83" t="s">
        <v>184</v>
      </c>
      <c r="I83" t="str">
        <f>IFERROR(INDEX('Customer 360'!F:F,MATCH(B83,'Customer 360'!A:A,0)),"-")</f>
        <v>D</v>
      </c>
      <c r="J83">
        <v>1800</v>
      </c>
      <c r="K83">
        <v>0</v>
      </c>
      <c r="L83" s="4">
        <v>46255</v>
      </c>
      <c r="M83" s="4">
        <v>46255</v>
      </c>
      <c r="N83">
        <v>2026</v>
      </c>
      <c r="O83" s="4">
        <v>46023</v>
      </c>
      <c r="P83" t="s">
        <v>217</v>
      </c>
      <c r="Q83" s="18">
        <f t="shared" si="19"/>
        <v>46023</v>
      </c>
      <c r="R83" s="18">
        <f>IFERROR(IF(M83&lt;&gt;"",M83,IF(L83&lt;&gt;"",L83,INDEX('CSM RDD'!B:B,MATCH(B83,'CSM RDD'!A:A,0)))),"-")</f>
        <v>46255</v>
      </c>
      <c r="S83" s="18">
        <f t="shared" si="21"/>
        <v>46023</v>
      </c>
      <c r="T83" s="18">
        <f t="shared" si="22"/>
        <v>46235</v>
      </c>
      <c r="U83" s="6">
        <f t="shared" si="23"/>
        <v>1800</v>
      </c>
      <c r="V83" s="18">
        <f t="shared" si="20"/>
        <v>46082</v>
      </c>
      <c r="W83">
        <f>IF(U83=0,1,IF(U83&lt;='Demand Base Matrix'!$K$3,'Demand Base Matrix'!$L$3,IF(U83&lt;='Demand Base Matrix'!$K$4,'Demand Base Matrix'!$L$4,IF(U83&lt;='Demand Base Matrix'!$K$5,'Demand Base Matrix'!$L$5,IF(U83&lt;='Demand Base Matrix'!$K$6,'Demand Base Matrix'!$L$6,IF(U83&lt;='Demand Base Matrix'!$K$7,'Demand Base Matrix'!$L$7))))))</f>
        <v>1</v>
      </c>
      <c r="X83" s="4">
        <f t="shared" si="24"/>
        <v>46235</v>
      </c>
      <c r="Y83" t="str">
        <f t="shared" si="25"/>
        <v>Dx</v>
      </c>
      <c r="Z83" t="s">
        <v>685</v>
      </c>
      <c r="AA83" t="s">
        <v>685</v>
      </c>
      <c r="AB83" t="s">
        <v>685</v>
      </c>
      <c r="AC83">
        <f>IFERROR(INDEX('Demand Base Matrix'!AM:AM,MATCH(Y83,'Demand Base Matrix'!AL:AL,0)),"-")</f>
        <v>1</v>
      </c>
      <c r="AD83">
        <f>IFERROR(INDEX('Demand Base Matrix'!AO:AO,MATCH(Z83,'Demand Base Matrix'!AN:AN,0)),1)</f>
        <v>1</v>
      </c>
      <c r="AE83">
        <f>IFERROR(INDEX('Demand Base Matrix'!AQ:AQ,MATCH(AA83,'Demand Base Matrix'!AP:AP,0)),1)</f>
        <v>1</v>
      </c>
      <c r="AF83">
        <f>IFERROR(INDEX('Demand Base Matrix'!AS:AS,MATCH(AB83,'Demand Base Matrix'!AR:AR,0)),1)</f>
        <v>1</v>
      </c>
      <c r="AG83">
        <f>IF($C83="Validate",(('Demand Base Matrix'!D$2+'Demand Base Matrix'!D$6)*$AC$2*$AD$2*$AE$2+('Demand Base Matrix'!D$3+'Demand Base Matrix'!D$4)*$W$2*$AD$2+'Demand Base Matrix'!D$5*$W$2*$AD$2*$AE$2+'Demand Base Matrix'!D$7+'Demand Base Matrix'!D$8*$AF$2),IF($C83="Integrate",(('Demand Base Matrix'!D$28+'Demand Base Matrix'!D$32)*$AC$2*$AD$2*$AE$2+('Demand Base Matrix'!D$29+'Demand Base Matrix'!D$30)*$W$2*$AD$2+'Demand Base Matrix'!D$31*$W$2*$AD$2*$AE$2+'Demand Base Matrix'!D$33+'Demand Base Matrix'!D$34*$AF$2),IF($C83="Bond",(('Demand Base Matrix'!D$55+'Demand Base Matrix'!D$59)*$AC$2*$AD$2*$AE$2+('Demand Base Matrix'!D$56+'Demand Base Matrix'!D$57)*$W$2*$AD$2+'Demand Base Matrix'!D$58*$W$2*$AD$2*$AE$2+'Demand Base Matrix'!D$60+'Demand Base Matrix'!D$61*$AF$2),IF($C83="Explore",('Demand Base Matrix'!D$82*$AC$2*$AD$2*$AE$2*$AF$2+'Demand Base Matrix'!D$83*$W$2*$AC$2*$AD$2*$AE$2*$AF$2+'Demand Base Matrix'!D$84)))))</f>
        <v>10</v>
      </c>
      <c r="AH83">
        <f>IF($C83="Validate",(('Demand Base Matrix'!E$2+'Demand Base Matrix'!E$6)*$AC$2*$AD$2*$AE$2+('Demand Base Matrix'!E$3+'Demand Base Matrix'!E$4)*$W$2*$AD$2+'Demand Base Matrix'!E$5*$W$2*$AD$2*$AE$2+'Demand Base Matrix'!E$7+'Demand Base Matrix'!E$8*$AF$2),IF($C83="Integrate",(('Demand Base Matrix'!E$28+'Demand Base Matrix'!E$32)*$AC$2*$AD$2*$AE$2+('Demand Base Matrix'!E$29+'Demand Base Matrix'!E$30)*$W$2*$AD$2+'Demand Base Matrix'!E$31*$W$2*$AD$2*$AE$2+'Demand Base Matrix'!E$33+'Demand Base Matrix'!E$34*$AF$2),IF($C83="Bond",(('Demand Base Matrix'!E$55+'Demand Base Matrix'!E$59)*$AC$2*$AD$2*$AE$2+('Demand Base Matrix'!E$56+'Demand Base Matrix'!E$57)*$W$2*$AD$2+'Demand Base Matrix'!E$58*$W$2*$AD$2*$AE$2+'Demand Base Matrix'!E$60+'Demand Base Matrix'!E$61*$AF$2),IF($C83="Explore",('Demand Base Matrix'!E$82*$AC$2*$AD$2*$AE$2*$AF$2+'Demand Base Matrix'!E$83*$W$2*$AC$2*$AD$2*$AE$2*$AF$2+'Demand Base Matrix'!E$84)))))</f>
        <v>10</v>
      </c>
      <c r="AI83">
        <f>IF($C83="Validate",(('Demand Base Matrix'!F$2+'Demand Base Matrix'!F$6)*$AC$2*$AD$2*$AE$2+('Demand Base Matrix'!F$3+'Demand Base Matrix'!F$4)*$W$2*$AD$2+'Demand Base Matrix'!F$5*$W$2*$AD$2*$AE$2+'Demand Base Matrix'!F$7+'Demand Base Matrix'!F$8*$AF$2),IF($C83="Integrate",(('Demand Base Matrix'!F$28+'Demand Base Matrix'!F$32)*$AC$2*$AD$2*$AE$2+('Demand Base Matrix'!F$29+'Demand Base Matrix'!F$30)*$W$2*$AD$2+'Demand Base Matrix'!F$31*$W$2*$AD$2*$AE$2+'Demand Base Matrix'!F$33+'Demand Base Matrix'!F$34*$AF$2),IF($C83="Bond",(('Demand Base Matrix'!F$55+'Demand Base Matrix'!F$59)*$AC$2*$AD$2*$AE$2+('Demand Base Matrix'!F$56+'Demand Base Matrix'!F$57)*$W$2*$AD$2+'Demand Base Matrix'!F$58*$W$2*$AD$2*$AE$2+'Demand Base Matrix'!F$60+'Demand Base Matrix'!F$61*$AF$2),IF($C83="Explore",('Demand Base Matrix'!F$82*$AC$2*$AD$2*$AE$2*$AF$2+'Demand Base Matrix'!F$83*$W$2*$AC$2*$AD$2*$AE$2*$AF$2+'Demand Base Matrix'!F$84)))))</f>
        <v>10</v>
      </c>
      <c r="AJ83">
        <f>IF($C83="Validate",(('Demand Base Matrix'!G$2+'Demand Base Matrix'!G$6)*$AC$2*$AD$2*$AE$2+('Demand Base Matrix'!G$3+'Demand Base Matrix'!G$4)*$W$2*$AD$2+'Demand Base Matrix'!G$5*$W$2*$AD$2*$AE$2+'Demand Base Matrix'!G$7+'Demand Base Matrix'!G$8*$AF$2),IF($C83="Integrate",(('Demand Base Matrix'!G$28+'Demand Base Matrix'!G$32)*$AC$2*$AD$2*$AE$2+('Demand Base Matrix'!G$29+'Demand Base Matrix'!G$30)*$W$2*$AD$2+'Demand Base Matrix'!G$31*$W$2*$AD$2*$AE$2+'Demand Base Matrix'!G$33+'Demand Base Matrix'!G$34*$AF$2),IF($C83="Bond",(('Demand Base Matrix'!G$55+'Demand Base Matrix'!G$59)*$AC$2*$AD$2*$AE$2+('Demand Base Matrix'!G$56+'Demand Base Matrix'!G$57)*$W$2*$AD$2+'Demand Base Matrix'!G$58*$W$2*$AD$2*$AE$2+'Demand Base Matrix'!G$60+'Demand Base Matrix'!G$61*$AF$2),IF($C83="Explore",('Demand Base Matrix'!G$82*$AC$2*$AD$2*$AE$2*$AF$2+'Demand Base Matrix'!G$83*$W$2*$AC$2*$AD$2*$AE$2*$AF$2+'Demand Base Matrix'!G$84)))))</f>
        <v>50</v>
      </c>
      <c r="AK83">
        <f>IF($C83="Validate",(('Demand Base Matrix'!H$2+'Demand Base Matrix'!H$6)*$AC$2*$AD$2*$AE$2+('Demand Base Matrix'!H$3+'Demand Base Matrix'!H$4)*$W$2*$AD$2+'Demand Base Matrix'!H$5*$W$2*$AD$2*$AE$2+'Demand Base Matrix'!H$7+'Demand Base Matrix'!H$8*$AF$2),IF($C83="Integrate",(('Demand Base Matrix'!H$28+'Demand Base Matrix'!H$32)*$AC$2*$AD$2*$AE$2+('Demand Base Matrix'!H$29+'Demand Base Matrix'!H$30)*$W$2*$AD$2+'Demand Base Matrix'!H$31*$W$2*$AD$2*$AE$2+'Demand Base Matrix'!H$33+'Demand Base Matrix'!H$34*$AF$2),IF($C83="Bond",(('Demand Base Matrix'!H$55+'Demand Base Matrix'!H$59)*$AC$2*$AD$2*$AE$2+('Demand Base Matrix'!H$56+'Demand Base Matrix'!H$57)*$W$2*$AD$2+'Demand Base Matrix'!H$58*$W$2*$AD$2*$AE$2+'Demand Base Matrix'!H$60+'Demand Base Matrix'!H$61*$AF$2),IF($C83="Explore",('Demand Base Matrix'!H$82*$AC$2*$AD$2*$AE$2*$AF$2+'Demand Base Matrix'!H$83*$W$2*$AC$2*$AD$2*$AE$2*$AF$2+'Demand Base Matrix'!H$84)))))</f>
        <v>28</v>
      </c>
      <c r="AL83">
        <f>IF($C83="Validate",(('Demand Base Matrix'!I$2+'Demand Base Matrix'!I$6)*$AC$2*$AD$2*$AE$2+('Demand Base Matrix'!I$3+'Demand Base Matrix'!I$4)*$W$2*$AD$2+'Demand Base Matrix'!I$5*$W$2*$AD$2*$AE$2+'Demand Base Matrix'!I$7+'Demand Base Matrix'!I$8*$AF$2),IF($C83="Integrate",(('Demand Base Matrix'!I$28+'Demand Base Matrix'!I$32)*$AC$2*$AD$2*$AE$2+('Demand Base Matrix'!I$29+'Demand Base Matrix'!I$30)*$W$2*$AD$2+'Demand Base Matrix'!I$31*$W$2*$AD$2*$AE$2+'Demand Base Matrix'!I$33+'Demand Base Matrix'!I$34*$AF$2),IF($C83="Bond",(('Demand Base Matrix'!I$55+'Demand Base Matrix'!I$59)*$AC$2*$AD$2*$AE$2+('Demand Base Matrix'!I$56+'Demand Base Matrix'!I$57)*$W$2*$AD$2+'Demand Base Matrix'!I$58*$W$2*$AD$2*$AE$2+'Demand Base Matrix'!I$60+'Demand Base Matrix'!I$61*$AF$2),IF($C83="Explore",('Demand Base Matrix'!I$82*$AC$2*$AD$2*$AE$2*$AF$2+'Demand Base Matrix'!I$83*$W$2*$AC$2*$AD$2*$AE$2*$AF$2+'Demand Base Matrix'!I$84)))))</f>
        <v>8</v>
      </c>
      <c r="AM83">
        <f>IF($C83="Validate",(('Demand Base Matrix'!J$2+'Demand Base Matrix'!J$6)*$AC$2*$AD$2*$AE$2+('Demand Base Matrix'!J$3+'Demand Base Matrix'!J$4)*$W$2*$AD$2+'Demand Base Matrix'!J$5*$W$2*$AD$2*$AE$2+'Demand Base Matrix'!J$7+'Demand Base Matrix'!J$8*$AF$2),IF($C83="Integrate",(('Demand Base Matrix'!J$28+'Demand Base Matrix'!J$32)*$AC$2*$AD$2*$AE$2+('Demand Base Matrix'!J$29+'Demand Base Matrix'!J$30)*$W$2*$AD$2+'Demand Base Matrix'!J$31*$W$2*$AD$2*$AE$2+'Demand Base Matrix'!J$33+'Demand Base Matrix'!J$34*$AF$2),IF($C83="Bond",(('Demand Base Matrix'!J$55+'Demand Base Matrix'!J$59)*$AC$2*$AD$2*$AE$2+('Demand Base Matrix'!J$56+'Demand Base Matrix'!J$57)*$W$2*$AD$2+'Demand Base Matrix'!J$58*$W$2*$AD$2*$AE$2+'Demand Base Matrix'!J$60+'Demand Base Matrix'!J$61*$AF$2),IF($C83="Explore",('Demand Base Matrix'!J$82*$AC$2*$AD$2*$AE$2*$AF$2+'Demand Base Matrix'!J$83*$W$2*$AC$2*$AD$2*$AE$2*$AF$2+'Demand Base Matrix'!J$84)))))</f>
        <v>8</v>
      </c>
    </row>
    <row r="84" spans="1:39" x14ac:dyDescent="0.2">
      <c r="A84" t="s">
        <v>793</v>
      </c>
      <c r="B84" t="s">
        <v>103</v>
      </c>
      <c r="C84" t="s">
        <v>23</v>
      </c>
      <c r="D84" t="s">
        <v>44</v>
      </c>
      <c r="E84" t="s">
        <v>115</v>
      </c>
      <c r="F84" t="s">
        <v>800</v>
      </c>
      <c r="I84" t="str">
        <f>IFERROR(INDEX('Customer 360'!F:F,MATCH(B84,'Customer 360'!A:A,0)),"-")</f>
        <v>D</v>
      </c>
      <c r="J84">
        <v>2726</v>
      </c>
      <c r="K84">
        <v>26</v>
      </c>
      <c r="L84" s="4">
        <v>46276</v>
      </c>
      <c r="M84" s="4">
        <v>46276</v>
      </c>
      <c r="N84">
        <v>2026</v>
      </c>
      <c r="O84" s="4">
        <v>46023</v>
      </c>
      <c r="P84" t="s">
        <v>217</v>
      </c>
      <c r="Q84" s="18">
        <f t="shared" si="19"/>
        <v>46023</v>
      </c>
      <c r="R84" s="18">
        <f>IFERROR(IF(M84&lt;&gt;"",M84,IF(L84&lt;&gt;"",L84,INDEX('CSM RDD'!B:B,MATCH(B84,'CSM RDD'!A:A,0)))),"-")</f>
        <v>46276</v>
      </c>
      <c r="S84" s="18">
        <f t="shared" si="21"/>
        <v>46023</v>
      </c>
      <c r="T84" s="18">
        <f t="shared" si="22"/>
        <v>46266</v>
      </c>
      <c r="U84" s="6">
        <f t="shared" si="23"/>
        <v>2752</v>
      </c>
      <c r="V84" s="18">
        <f t="shared" si="20"/>
        <v>46082</v>
      </c>
      <c r="W84">
        <f>IF(U84=0,1,IF(U84&lt;='Demand Base Matrix'!$K$3,'Demand Base Matrix'!$L$3,IF(U84&lt;='Demand Base Matrix'!$K$4,'Demand Base Matrix'!$L$4,IF(U84&lt;='Demand Base Matrix'!$K$5,'Demand Base Matrix'!$L$5,IF(U84&lt;='Demand Base Matrix'!$K$6,'Demand Base Matrix'!$L$6,IF(U84&lt;='Demand Base Matrix'!$K$7,'Demand Base Matrix'!$L$7))))))</f>
        <v>1</v>
      </c>
      <c r="X84" s="4">
        <f t="shared" si="24"/>
        <v>46266</v>
      </c>
      <c r="Y84" t="str">
        <f t="shared" si="25"/>
        <v>Tx</v>
      </c>
      <c r="Z84" t="s">
        <v>685</v>
      </c>
      <c r="AA84" t="s">
        <v>685</v>
      </c>
      <c r="AB84" t="s">
        <v>685</v>
      </c>
      <c r="AC84">
        <f>IFERROR(INDEX('Demand Base Matrix'!AM:AM,MATCH(Y84,'Demand Base Matrix'!AL:AL,0)),"-")</f>
        <v>1.5</v>
      </c>
      <c r="AD84">
        <f>IFERROR(INDEX('Demand Base Matrix'!AO:AO,MATCH(Z84,'Demand Base Matrix'!AN:AN,0)),1)</f>
        <v>1</v>
      </c>
      <c r="AE84">
        <f>IFERROR(INDEX('Demand Base Matrix'!AQ:AQ,MATCH(AA84,'Demand Base Matrix'!AP:AP,0)),1)</f>
        <v>1</v>
      </c>
      <c r="AF84">
        <f>IFERROR(INDEX('Demand Base Matrix'!AS:AS,MATCH(AB84,'Demand Base Matrix'!AR:AR,0)),1)</f>
        <v>1</v>
      </c>
      <c r="AG84">
        <f>IF($C84="Validate",(('Demand Base Matrix'!D$2+'Demand Base Matrix'!D$6)*$AC$2*$AD$2*$AE$2+('Demand Base Matrix'!D$3+'Demand Base Matrix'!D$4)*$W$2*$AD$2+'Demand Base Matrix'!D$5*$W$2*$AD$2*$AE$2+'Demand Base Matrix'!D$7+'Demand Base Matrix'!D$8*$AF$2),IF($C84="Integrate",(('Demand Base Matrix'!D$28+'Demand Base Matrix'!D$32)*$AC$2*$AD$2*$AE$2+('Demand Base Matrix'!D$29+'Demand Base Matrix'!D$30)*$W$2*$AD$2+'Demand Base Matrix'!D$31*$W$2*$AD$2*$AE$2+'Demand Base Matrix'!D$33+'Demand Base Matrix'!D$34*$AF$2),IF($C84="Bond",(('Demand Base Matrix'!D$55+'Demand Base Matrix'!D$59)*$AC$2*$AD$2*$AE$2+('Demand Base Matrix'!D$56+'Demand Base Matrix'!D$57)*$W$2*$AD$2+'Demand Base Matrix'!D$58*$W$2*$AD$2*$AE$2+'Demand Base Matrix'!D$60+'Demand Base Matrix'!D$61*$AF$2),IF($C84="Explore",('Demand Base Matrix'!D$82*$AC$2*$AD$2*$AE$2*$AF$2+'Demand Base Matrix'!D$83*$W$2*$AC$2*$AD$2*$AE$2*$AF$2+'Demand Base Matrix'!D$84)))))</f>
        <v>10</v>
      </c>
      <c r="AH84">
        <f>IF($C84="Validate",(('Demand Base Matrix'!E$2+'Demand Base Matrix'!E$6)*$AC$2*$AD$2*$AE$2+('Demand Base Matrix'!E$3+'Demand Base Matrix'!E$4)*$W$2*$AD$2+'Demand Base Matrix'!E$5*$W$2*$AD$2*$AE$2+'Demand Base Matrix'!E$7+'Demand Base Matrix'!E$8*$AF$2),IF($C84="Integrate",(('Demand Base Matrix'!E$28+'Demand Base Matrix'!E$32)*$AC$2*$AD$2*$AE$2+('Demand Base Matrix'!E$29+'Demand Base Matrix'!E$30)*$W$2*$AD$2+'Demand Base Matrix'!E$31*$W$2*$AD$2*$AE$2+'Demand Base Matrix'!E$33+'Demand Base Matrix'!E$34*$AF$2),IF($C84="Bond",(('Demand Base Matrix'!E$55+'Demand Base Matrix'!E$59)*$AC$2*$AD$2*$AE$2+('Demand Base Matrix'!E$56+'Demand Base Matrix'!E$57)*$W$2*$AD$2+'Demand Base Matrix'!E$58*$W$2*$AD$2*$AE$2+'Demand Base Matrix'!E$60+'Demand Base Matrix'!E$61*$AF$2),IF($C84="Explore",('Demand Base Matrix'!E$82*$AC$2*$AD$2*$AE$2*$AF$2+'Demand Base Matrix'!E$83*$W$2*$AC$2*$AD$2*$AE$2*$AF$2+'Demand Base Matrix'!E$84)))))</f>
        <v>10</v>
      </c>
      <c r="AI84">
        <f>IF($C84="Validate",(('Demand Base Matrix'!F$2+'Demand Base Matrix'!F$6)*$AC$2*$AD$2*$AE$2+('Demand Base Matrix'!F$3+'Demand Base Matrix'!F$4)*$W$2*$AD$2+'Demand Base Matrix'!F$5*$W$2*$AD$2*$AE$2+'Demand Base Matrix'!F$7+'Demand Base Matrix'!F$8*$AF$2),IF($C84="Integrate",(('Demand Base Matrix'!F$28+'Demand Base Matrix'!F$32)*$AC$2*$AD$2*$AE$2+('Demand Base Matrix'!F$29+'Demand Base Matrix'!F$30)*$W$2*$AD$2+'Demand Base Matrix'!F$31*$W$2*$AD$2*$AE$2+'Demand Base Matrix'!F$33+'Demand Base Matrix'!F$34*$AF$2),IF($C84="Bond",(('Demand Base Matrix'!F$55+'Demand Base Matrix'!F$59)*$AC$2*$AD$2*$AE$2+('Demand Base Matrix'!F$56+'Demand Base Matrix'!F$57)*$W$2*$AD$2+'Demand Base Matrix'!F$58*$W$2*$AD$2*$AE$2+'Demand Base Matrix'!F$60+'Demand Base Matrix'!F$61*$AF$2),IF($C84="Explore",('Demand Base Matrix'!F$82*$AC$2*$AD$2*$AE$2*$AF$2+'Demand Base Matrix'!F$83*$W$2*$AC$2*$AD$2*$AE$2*$AF$2+'Demand Base Matrix'!F$84)))))</f>
        <v>10</v>
      </c>
      <c r="AJ84">
        <f>IF($C84="Validate",(('Demand Base Matrix'!G$2+'Demand Base Matrix'!G$6)*$AC$2*$AD$2*$AE$2+('Demand Base Matrix'!G$3+'Demand Base Matrix'!G$4)*$W$2*$AD$2+'Demand Base Matrix'!G$5*$W$2*$AD$2*$AE$2+'Demand Base Matrix'!G$7+'Demand Base Matrix'!G$8*$AF$2),IF($C84="Integrate",(('Demand Base Matrix'!G$28+'Demand Base Matrix'!G$32)*$AC$2*$AD$2*$AE$2+('Demand Base Matrix'!G$29+'Demand Base Matrix'!G$30)*$W$2*$AD$2+'Demand Base Matrix'!G$31*$W$2*$AD$2*$AE$2+'Demand Base Matrix'!G$33+'Demand Base Matrix'!G$34*$AF$2),IF($C84="Bond",(('Demand Base Matrix'!G$55+'Demand Base Matrix'!G$59)*$AC$2*$AD$2*$AE$2+('Demand Base Matrix'!G$56+'Demand Base Matrix'!G$57)*$W$2*$AD$2+'Demand Base Matrix'!G$58*$W$2*$AD$2*$AE$2+'Demand Base Matrix'!G$60+'Demand Base Matrix'!G$61*$AF$2),IF($C84="Explore",('Demand Base Matrix'!G$82*$AC$2*$AD$2*$AE$2*$AF$2+'Demand Base Matrix'!G$83*$W$2*$AC$2*$AD$2*$AE$2*$AF$2+'Demand Base Matrix'!G$84)))))</f>
        <v>50</v>
      </c>
      <c r="AK84">
        <f>IF($C84="Validate",(('Demand Base Matrix'!H$2+'Demand Base Matrix'!H$6)*$AC$2*$AD$2*$AE$2+('Demand Base Matrix'!H$3+'Demand Base Matrix'!H$4)*$W$2*$AD$2+'Demand Base Matrix'!H$5*$W$2*$AD$2*$AE$2+'Demand Base Matrix'!H$7+'Demand Base Matrix'!H$8*$AF$2),IF($C84="Integrate",(('Demand Base Matrix'!H$28+'Demand Base Matrix'!H$32)*$AC$2*$AD$2*$AE$2+('Demand Base Matrix'!H$29+'Demand Base Matrix'!H$30)*$W$2*$AD$2+'Demand Base Matrix'!H$31*$W$2*$AD$2*$AE$2+'Demand Base Matrix'!H$33+'Demand Base Matrix'!H$34*$AF$2),IF($C84="Bond",(('Demand Base Matrix'!H$55+'Demand Base Matrix'!H$59)*$AC$2*$AD$2*$AE$2+('Demand Base Matrix'!H$56+'Demand Base Matrix'!H$57)*$W$2*$AD$2+'Demand Base Matrix'!H$58*$W$2*$AD$2*$AE$2+'Demand Base Matrix'!H$60+'Demand Base Matrix'!H$61*$AF$2),IF($C84="Explore",('Demand Base Matrix'!H$82*$AC$2*$AD$2*$AE$2*$AF$2+'Demand Base Matrix'!H$83*$W$2*$AC$2*$AD$2*$AE$2*$AF$2+'Demand Base Matrix'!H$84)))))</f>
        <v>28</v>
      </c>
      <c r="AL84">
        <f>IF($C84="Validate",(('Demand Base Matrix'!I$2+'Demand Base Matrix'!I$6)*$AC$2*$AD$2*$AE$2+('Demand Base Matrix'!I$3+'Demand Base Matrix'!I$4)*$W$2*$AD$2+'Demand Base Matrix'!I$5*$W$2*$AD$2*$AE$2+'Demand Base Matrix'!I$7+'Demand Base Matrix'!I$8*$AF$2),IF($C84="Integrate",(('Demand Base Matrix'!I$28+'Demand Base Matrix'!I$32)*$AC$2*$AD$2*$AE$2+('Demand Base Matrix'!I$29+'Demand Base Matrix'!I$30)*$W$2*$AD$2+'Demand Base Matrix'!I$31*$W$2*$AD$2*$AE$2+'Demand Base Matrix'!I$33+'Demand Base Matrix'!I$34*$AF$2),IF($C84="Bond",(('Demand Base Matrix'!I$55+'Demand Base Matrix'!I$59)*$AC$2*$AD$2*$AE$2+('Demand Base Matrix'!I$56+'Demand Base Matrix'!I$57)*$W$2*$AD$2+'Demand Base Matrix'!I$58*$W$2*$AD$2*$AE$2+'Demand Base Matrix'!I$60+'Demand Base Matrix'!I$61*$AF$2),IF($C84="Explore",('Demand Base Matrix'!I$82*$AC$2*$AD$2*$AE$2*$AF$2+'Demand Base Matrix'!I$83*$W$2*$AC$2*$AD$2*$AE$2*$AF$2+'Demand Base Matrix'!I$84)))))</f>
        <v>8</v>
      </c>
      <c r="AM84">
        <f>IF($C84="Validate",(('Demand Base Matrix'!J$2+'Demand Base Matrix'!J$6)*$AC$2*$AD$2*$AE$2+('Demand Base Matrix'!J$3+'Demand Base Matrix'!J$4)*$W$2*$AD$2+'Demand Base Matrix'!J$5*$W$2*$AD$2*$AE$2+'Demand Base Matrix'!J$7+'Demand Base Matrix'!J$8*$AF$2),IF($C84="Integrate",(('Demand Base Matrix'!J$28+'Demand Base Matrix'!J$32)*$AC$2*$AD$2*$AE$2+('Demand Base Matrix'!J$29+'Demand Base Matrix'!J$30)*$W$2*$AD$2+'Demand Base Matrix'!J$31*$W$2*$AD$2*$AE$2+'Demand Base Matrix'!J$33+'Demand Base Matrix'!J$34*$AF$2),IF($C84="Bond",(('Demand Base Matrix'!J$55+'Demand Base Matrix'!J$59)*$AC$2*$AD$2*$AE$2+('Demand Base Matrix'!J$56+'Demand Base Matrix'!J$57)*$W$2*$AD$2+'Demand Base Matrix'!J$58*$W$2*$AD$2*$AE$2+'Demand Base Matrix'!J$60+'Demand Base Matrix'!J$61*$AF$2),IF($C84="Explore",('Demand Base Matrix'!J$82*$AC$2*$AD$2*$AE$2*$AF$2+'Demand Base Matrix'!J$83*$W$2*$AC$2*$AD$2*$AE$2*$AF$2+'Demand Base Matrix'!J$84)))))</f>
        <v>8</v>
      </c>
    </row>
    <row r="85" spans="1:39" x14ac:dyDescent="0.2">
      <c r="A85" t="s">
        <v>794</v>
      </c>
      <c r="B85" t="s">
        <v>104</v>
      </c>
      <c r="C85" t="s">
        <v>23</v>
      </c>
      <c r="D85" t="s">
        <v>36</v>
      </c>
      <c r="E85" t="s">
        <v>222</v>
      </c>
      <c r="F85" t="s">
        <v>93</v>
      </c>
      <c r="I85" t="str">
        <f>IFERROR(INDEX('Customer 360'!F:F,MATCH(B85,'Customer 360'!A:A,0)),"-")</f>
        <v>C</v>
      </c>
      <c r="J85">
        <v>460</v>
      </c>
      <c r="K85"/>
      <c r="L85" s="4">
        <v>46237</v>
      </c>
      <c r="M85" s="4">
        <v>46237</v>
      </c>
      <c r="N85">
        <v>2026</v>
      </c>
      <c r="O85" s="4">
        <v>46023</v>
      </c>
      <c r="P85" t="s">
        <v>217</v>
      </c>
      <c r="Q85" s="18">
        <f t="shared" si="19"/>
        <v>46023</v>
      </c>
      <c r="R85" s="18">
        <f>IFERROR(IF(M85&lt;&gt;"",M85,IF(L85&lt;&gt;"",L85,INDEX('CSM RDD'!B:B,MATCH(B85,'CSM RDD'!A:A,0)))),"-")</f>
        <v>46237</v>
      </c>
      <c r="S85" s="18">
        <f t="shared" si="21"/>
        <v>46023</v>
      </c>
      <c r="T85" s="18">
        <f t="shared" si="22"/>
        <v>46235</v>
      </c>
      <c r="U85" s="6">
        <f t="shared" si="23"/>
        <v>460</v>
      </c>
      <c r="V85" s="18">
        <f t="shared" si="20"/>
        <v>46082</v>
      </c>
      <c r="W85">
        <f>IF(U85=0,1,IF(U85&lt;='Demand Base Matrix'!$K$3,'Demand Base Matrix'!$L$3,IF(U85&lt;='Demand Base Matrix'!$K$4,'Demand Base Matrix'!$L$4,IF(U85&lt;='Demand Base Matrix'!$K$5,'Demand Base Matrix'!$L$5,IF(U85&lt;='Demand Base Matrix'!$K$6,'Demand Base Matrix'!$L$6,IF(U85&lt;='Demand Base Matrix'!$K$7,'Demand Base Matrix'!$L$7))))))</f>
        <v>0.75</v>
      </c>
      <c r="X85" s="4">
        <f t="shared" si="24"/>
        <v>46235</v>
      </c>
      <c r="Y85" t="str">
        <f t="shared" si="25"/>
        <v>Dx</v>
      </c>
      <c r="Z85" t="s">
        <v>685</v>
      </c>
      <c r="AA85" t="s">
        <v>685</v>
      </c>
      <c r="AB85" t="s">
        <v>685</v>
      </c>
      <c r="AC85">
        <f>IFERROR(INDEX('Demand Base Matrix'!AM:AM,MATCH(Y85,'Demand Base Matrix'!AL:AL,0)),"-")</f>
        <v>1</v>
      </c>
      <c r="AD85">
        <f>IFERROR(INDEX('Demand Base Matrix'!AO:AO,MATCH(Z85,'Demand Base Matrix'!AN:AN,0)),1)</f>
        <v>1</v>
      </c>
      <c r="AE85">
        <f>IFERROR(INDEX('Demand Base Matrix'!AQ:AQ,MATCH(AA85,'Demand Base Matrix'!AP:AP,0)),1)</f>
        <v>1</v>
      </c>
      <c r="AF85">
        <f>IFERROR(INDEX('Demand Base Matrix'!AS:AS,MATCH(AB85,'Demand Base Matrix'!AR:AR,0)),1)</f>
        <v>1</v>
      </c>
      <c r="AG85">
        <f>IF($C85="Validate",(('Demand Base Matrix'!D$2+'Demand Base Matrix'!D$6)*$AC$2*$AD$2*$AE$2+('Demand Base Matrix'!D$3+'Demand Base Matrix'!D$4)*$W$2*$AD$2+'Demand Base Matrix'!D$5*$W$2*$AD$2*$AE$2+'Demand Base Matrix'!D$7+'Demand Base Matrix'!D$8*$AF$2),IF($C85="Integrate",(('Demand Base Matrix'!D$28+'Demand Base Matrix'!D$32)*$AC$2*$AD$2*$AE$2+('Demand Base Matrix'!D$29+'Demand Base Matrix'!D$30)*$W$2*$AD$2+'Demand Base Matrix'!D$31*$W$2*$AD$2*$AE$2+'Demand Base Matrix'!D$33+'Demand Base Matrix'!D$34*$AF$2),IF($C85="Bond",(('Demand Base Matrix'!D$55+'Demand Base Matrix'!D$59)*$AC$2*$AD$2*$AE$2+('Demand Base Matrix'!D$56+'Demand Base Matrix'!D$57)*$W$2*$AD$2+'Demand Base Matrix'!D$58*$W$2*$AD$2*$AE$2+'Demand Base Matrix'!D$60+'Demand Base Matrix'!D$61*$AF$2),IF($C85="Explore",('Demand Base Matrix'!D$82*$AC$2*$AD$2*$AE$2*$AF$2+'Demand Base Matrix'!D$83*$W$2*$AC$2*$AD$2*$AE$2*$AF$2+'Demand Base Matrix'!D$84)))))</f>
        <v>10</v>
      </c>
      <c r="AH85">
        <f>IF($C85="Validate",(('Demand Base Matrix'!E$2+'Demand Base Matrix'!E$6)*$AC$2*$AD$2*$AE$2+('Demand Base Matrix'!E$3+'Demand Base Matrix'!E$4)*$W$2*$AD$2+'Demand Base Matrix'!E$5*$W$2*$AD$2*$AE$2+'Demand Base Matrix'!E$7+'Demand Base Matrix'!E$8*$AF$2),IF($C85="Integrate",(('Demand Base Matrix'!E$28+'Demand Base Matrix'!E$32)*$AC$2*$AD$2*$AE$2+('Demand Base Matrix'!E$29+'Demand Base Matrix'!E$30)*$W$2*$AD$2+'Demand Base Matrix'!E$31*$W$2*$AD$2*$AE$2+'Demand Base Matrix'!E$33+'Demand Base Matrix'!E$34*$AF$2),IF($C85="Bond",(('Demand Base Matrix'!E$55+'Demand Base Matrix'!E$59)*$AC$2*$AD$2*$AE$2+('Demand Base Matrix'!E$56+'Demand Base Matrix'!E$57)*$W$2*$AD$2+'Demand Base Matrix'!E$58*$W$2*$AD$2*$AE$2+'Demand Base Matrix'!E$60+'Demand Base Matrix'!E$61*$AF$2),IF($C85="Explore",('Demand Base Matrix'!E$82*$AC$2*$AD$2*$AE$2*$AF$2+'Demand Base Matrix'!E$83*$W$2*$AC$2*$AD$2*$AE$2*$AF$2+'Demand Base Matrix'!E$84)))))</f>
        <v>10</v>
      </c>
      <c r="AI85">
        <f>IF($C85="Validate",(('Demand Base Matrix'!F$2+'Demand Base Matrix'!F$6)*$AC$2*$AD$2*$AE$2+('Demand Base Matrix'!F$3+'Demand Base Matrix'!F$4)*$W$2*$AD$2+'Demand Base Matrix'!F$5*$W$2*$AD$2*$AE$2+'Demand Base Matrix'!F$7+'Demand Base Matrix'!F$8*$AF$2),IF($C85="Integrate",(('Demand Base Matrix'!F$28+'Demand Base Matrix'!F$32)*$AC$2*$AD$2*$AE$2+('Demand Base Matrix'!F$29+'Demand Base Matrix'!F$30)*$W$2*$AD$2+'Demand Base Matrix'!F$31*$W$2*$AD$2*$AE$2+'Demand Base Matrix'!F$33+'Demand Base Matrix'!F$34*$AF$2),IF($C85="Bond",(('Demand Base Matrix'!F$55+'Demand Base Matrix'!F$59)*$AC$2*$AD$2*$AE$2+('Demand Base Matrix'!F$56+'Demand Base Matrix'!F$57)*$W$2*$AD$2+'Demand Base Matrix'!F$58*$W$2*$AD$2*$AE$2+'Demand Base Matrix'!F$60+'Demand Base Matrix'!F$61*$AF$2),IF($C85="Explore",('Demand Base Matrix'!F$82*$AC$2*$AD$2*$AE$2*$AF$2+'Demand Base Matrix'!F$83*$W$2*$AC$2*$AD$2*$AE$2*$AF$2+'Demand Base Matrix'!F$84)))))</f>
        <v>10</v>
      </c>
      <c r="AJ85">
        <f>IF($C85="Validate",(('Demand Base Matrix'!G$2+'Demand Base Matrix'!G$6)*$AC$2*$AD$2*$AE$2+('Demand Base Matrix'!G$3+'Demand Base Matrix'!G$4)*$W$2*$AD$2+'Demand Base Matrix'!G$5*$W$2*$AD$2*$AE$2+'Demand Base Matrix'!G$7+'Demand Base Matrix'!G$8*$AF$2),IF($C85="Integrate",(('Demand Base Matrix'!G$28+'Demand Base Matrix'!G$32)*$AC$2*$AD$2*$AE$2+('Demand Base Matrix'!G$29+'Demand Base Matrix'!G$30)*$W$2*$AD$2+'Demand Base Matrix'!G$31*$W$2*$AD$2*$AE$2+'Demand Base Matrix'!G$33+'Demand Base Matrix'!G$34*$AF$2),IF($C85="Bond",(('Demand Base Matrix'!G$55+'Demand Base Matrix'!G$59)*$AC$2*$AD$2*$AE$2+('Demand Base Matrix'!G$56+'Demand Base Matrix'!G$57)*$W$2*$AD$2+'Demand Base Matrix'!G$58*$W$2*$AD$2*$AE$2+'Demand Base Matrix'!G$60+'Demand Base Matrix'!G$61*$AF$2),IF($C85="Explore",('Demand Base Matrix'!G$82*$AC$2*$AD$2*$AE$2*$AF$2+'Demand Base Matrix'!G$83*$W$2*$AC$2*$AD$2*$AE$2*$AF$2+'Demand Base Matrix'!G$84)))))</f>
        <v>50</v>
      </c>
      <c r="AK85">
        <f>IF($C85="Validate",(('Demand Base Matrix'!H$2+'Demand Base Matrix'!H$6)*$AC$2*$AD$2*$AE$2+('Demand Base Matrix'!H$3+'Demand Base Matrix'!H$4)*$W$2*$AD$2+'Demand Base Matrix'!H$5*$W$2*$AD$2*$AE$2+'Demand Base Matrix'!H$7+'Demand Base Matrix'!H$8*$AF$2),IF($C85="Integrate",(('Demand Base Matrix'!H$28+'Demand Base Matrix'!H$32)*$AC$2*$AD$2*$AE$2+('Demand Base Matrix'!H$29+'Demand Base Matrix'!H$30)*$W$2*$AD$2+'Demand Base Matrix'!H$31*$W$2*$AD$2*$AE$2+'Demand Base Matrix'!H$33+'Demand Base Matrix'!H$34*$AF$2),IF($C85="Bond",(('Demand Base Matrix'!H$55+'Demand Base Matrix'!H$59)*$AC$2*$AD$2*$AE$2+('Demand Base Matrix'!H$56+'Demand Base Matrix'!H$57)*$W$2*$AD$2+'Demand Base Matrix'!H$58*$W$2*$AD$2*$AE$2+'Demand Base Matrix'!H$60+'Demand Base Matrix'!H$61*$AF$2),IF($C85="Explore",('Demand Base Matrix'!H$82*$AC$2*$AD$2*$AE$2*$AF$2+'Demand Base Matrix'!H$83*$W$2*$AC$2*$AD$2*$AE$2*$AF$2+'Demand Base Matrix'!H$84)))))</f>
        <v>28</v>
      </c>
      <c r="AL85">
        <f>IF($C85="Validate",(('Demand Base Matrix'!I$2+'Demand Base Matrix'!I$6)*$AC$2*$AD$2*$AE$2+('Demand Base Matrix'!I$3+'Demand Base Matrix'!I$4)*$W$2*$AD$2+'Demand Base Matrix'!I$5*$W$2*$AD$2*$AE$2+'Demand Base Matrix'!I$7+'Demand Base Matrix'!I$8*$AF$2),IF($C85="Integrate",(('Demand Base Matrix'!I$28+'Demand Base Matrix'!I$32)*$AC$2*$AD$2*$AE$2+('Demand Base Matrix'!I$29+'Demand Base Matrix'!I$30)*$W$2*$AD$2+'Demand Base Matrix'!I$31*$W$2*$AD$2*$AE$2+'Demand Base Matrix'!I$33+'Demand Base Matrix'!I$34*$AF$2),IF($C85="Bond",(('Demand Base Matrix'!I$55+'Demand Base Matrix'!I$59)*$AC$2*$AD$2*$AE$2+('Demand Base Matrix'!I$56+'Demand Base Matrix'!I$57)*$W$2*$AD$2+'Demand Base Matrix'!I$58*$W$2*$AD$2*$AE$2+'Demand Base Matrix'!I$60+'Demand Base Matrix'!I$61*$AF$2),IF($C85="Explore",('Demand Base Matrix'!I$82*$AC$2*$AD$2*$AE$2*$AF$2+'Demand Base Matrix'!I$83*$W$2*$AC$2*$AD$2*$AE$2*$AF$2+'Demand Base Matrix'!I$84)))))</f>
        <v>8</v>
      </c>
      <c r="AM85">
        <f>IF($C85="Validate",(('Demand Base Matrix'!J$2+'Demand Base Matrix'!J$6)*$AC$2*$AD$2*$AE$2+('Demand Base Matrix'!J$3+'Demand Base Matrix'!J$4)*$W$2*$AD$2+'Demand Base Matrix'!J$5*$W$2*$AD$2*$AE$2+'Demand Base Matrix'!J$7+'Demand Base Matrix'!J$8*$AF$2),IF($C85="Integrate",(('Demand Base Matrix'!J$28+'Demand Base Matrix'!J$32)*$AC$2*$AD$2*$AE$2+('Demand Base Matrix'!J$29+'Demand Base Matrix'!J$30)*$W$2*$AD$2+'Demand Base Matrix'!J$31*$W$2*$AD$2*$AE$2+'Demand Base Matrix'!J$33+'Demand Base Matrix'!J$34*$AF$2),IF($C85="Bond",(('Demand Base Matrix'!J$55+'Demand Base Matrix'!J$59)*$AC$2*$AD$2*$AE$2+('Demand Base Matrix'!J$56+'Demand Base Matrix'!J$57)*$W$2*$AD$2+'Demand Base Matrix'!J$58*$W$2*$AD$2*$AE$2+'Demand Base Matrix'!J$60+'Demand Base Matrix'!J$61*$AF$2),IF($C85="Explore",('Demand Base Matrix'!J$82*$AC$2*$AD$2*$AE$2*$AF$2+'Demand Base Matrix'!J$83*$W$2*$AC$2*$AD$2*$AE$2*$AF$2+'Demand Base Matrix'!J$84)))))</f>
        <v>8</v>
      </c>
    </row>
    <row r="86" spans="1:39" x14ac:dyDescent="0.2">
      <c r="A86" t="s">
        <v>795</v>
      </c>
      <c r="B86" t="s">
        <v>105</v>
      </c>
      <c r="C86" t="s">
        <v>23</v>
      </c>
      <c r="D86" t="s">
        <v>178</v>
      </c>
      <c r="E86" t="s">
        <v>222</v>
      </c>
      <c r="F86" t="s">
        <v>21</v>
      </c>
      <c r="I86" t="str">
        <f>IFERROR(INDEX('Customer 360'!F:F,MATCH(B86,'Customer 360'!A:A,0)),"-")</f>
        <v>D</v>
      </c>
      <c r="J86">
        <v>6163</v>
      </c>
      <c r="K86"/>
      <c r="L86" s="4">
        <v>46259</v>
      </c>
      <c r="M86" s="4">
        <v>46259</v>
      </c>
      <c r="N86">
        <v>2026</v>
      </c>
      <c r="O86" s="4">
        <v>46023</v>
      </c>
      <c r="P86" t="s">
        <v>217</v>
      </c>
      <c r="Q86" s="18">
        <f t="shared" si="19"/>
        <v>46023</v>
      </c>
      <c r="R86" s="18">
        <f>IFERROR(IF(M86&lt;&gt;"",M86,IF(L86&lt;&gt;"",L86,INDEX('CSM RDD'!B:B,MATCH(B86,'CSM RDD'!A:A,0)))),"-")</f>
        <v>46259</v>
      </c>
      <c r="S86" s="18">
        <f t="shared" si="21"/>
        <v>46023</v>
      </c>
      <c r="T86" s="18">
        <f t="shared" si="22"/>
        <v>46235</v>
      </c>
      <c r="U86" s="6">
        <f t="shared" si="23"/>
        <v>6163</v>
      </c>
      <c r="V86" s="18">
        <f t="shared" si="20"/>
        <v>46082</v>
      </c>
      <c r="W86">
        <f>IF(U86=0,1,IF(U86&lt;='Demand Base Matrix'!$K$3,'Demand Base Matrix'!$L$3,IF(U86&lt;='Demand Base Matrix'!$K$4,'Demand Base Matrix'!$L$4,IF(U86&lt;='Demand Base Matrix'!$K$5,'Demand Base Matrix'!$L$5,IF(U86&lt;='Demand Base Matrix'!$K$6,'Demand Base Matrix'!$L$6,IF(U86&lt;='Demand Base Matrix'!$K$7,'Demand Base Matrix'!$L$7))))))</f>
        <v>1.25</v>
      </c>
      <c r="X86" s="4">
        <f t="shared" si="24"/>
        <v>46235</v>
      </c>
      <c r="Y86" t="str">
        <f t="shared" si="25"/>
        <v>Dx</v>
      </c>
      <c r="Z86" t="s">
        <v>685</v>
      </c>
      <c r="AA86" t="s">
        <v>685</v>
      </c>
      <c r="AB86" t="s">
        <v>685</v>
      </c>
      <c r="AC86">
        <f>IFERROR(INDEX('Demand Base Matrix'!AM:AM,MATCH(Y86,'Demand Base Matrix'!AL:AL,0)),"-")</f>
        <v>1</v>
      </c>
      <c r="AD86">
        <f>IFERROR(INDEX('Demand Base Matrix'!AO:AO,MATCH(Z86,'Demand Base Matrix'!AN:AN,0)),1)</f>
        <v>1</v>
      </c>
      <c r="AE86">
        <f>IFERROR(INDEX('Demand Base Matrix'!AQ:AQ,MATCH(AA86,'Demand Base Matrix'!AP:AP,0)),1)</f>
        <v>1</v>
      </c>
      <c r="AF86">
        <f>IFERROR(INDEX('Demand Base Matrix'!AS:AS,MATCH(AB86,'Demand Base Matrix'!AR:AR,0)),1)</f>
        <v>1</v>
      </c>
      <c r="AG86">
        <f>IF($C86="Validate",(('Demand Base Matrix'!D$2+'Demand Base Matrix'!D$6)*$AC$2*$AD$2*$AE$2+('Demand Base Matrix'!D$3+'Demand Base Matrix'!D$4)*$W$2*$AD$2+'Demand Base Matrix'!D$5*$W$2*$AD$2*$AE$2+'Demand Base Matrix'!D$7+'Demand Base Matrix'!D$8*$AF$2),IF($C86="Integrate",(('Demand Base Matrix'!D$28+'Demand Base Matrix'!D$32)*$AC$2*$AD$2*$AE$2+('Demand Base Matrix'!D$29+'Demand Base Matrix'!D$30)*$W$2*$AD$2+'Demand Base Matrix'!D$31*$W$2*$AD$2*$AE$2+'Demand Base Matrix'!D$33+'Demand Base Matrix'!D$34*$AF$2),IF($C86="Bond",(('Demand Base Matrix'!D$55+'Demand Base Matrix'!D$59)*$AC$2*$AD$2*$AE$2+('Demand Base Matrix'!D$56+'Demand Base Matrix'!D$57)*$W$2*$AD$2+'Demand Base Matrix'!D$58*$W$2*$AD$2*$AE$2+'Demand Base Matrix'!D$60+'Demand Base Matrix'!D$61*$AF$2),IF($C86="Explore",('Demand Base Matrix'!D$82*$AC$2*$AD$2*$AE$2*$AF$2+'Demand Base Matrix'!D$83*$W$2*$AC$2*$AD$2*$AE$2*$AF$2+'Demand Base Matrix'!D$84)))))</f>
        <v>10</v>
      </c>
      <c r="AH86">
        <f>IF($C86="Validate",(('Demand Base Matrix'!E$2+'Demand Base Matrix'!E$6)*$AC$2*$AD$2*$AE$2+('Demand Base Matrix'!E$3+'Demand Base Matrix'!E$4)*$W$2*$AD$2+'Demand Base Matrix'!E$5*$W$2*$AD$2*$AE$2+'Demand Base Matrix'!E$7+'Demand Base Matrix'!E$8*$AF$2),IF($C86="Integrate",(('Demand Base Matrix'!E$28+'Demand Base Matrix'!E$32)*$AC$2*$AD$2*$AE$2+('Demand Base Matrix'!E$29+'Demand Base Matrix'!E$30)*$W$2*$AD$2+'Demand Base Matrix'!E$31*$W$2*$AD$2*$AE$2+'Demand Base Matrix'!E$33+'Demand Base Matrix'!E$34*$AF$2),IF($C86="Bond",(('Demand Base Matrix'!E$55+'Demand Base Matrix'!E$59)*$AC$2*$AD$2*$AE$2+('Demand Base Matrix'!E$56+'Demand Base Matrix'!E$57)*$W$2*$AD$2+'Demand Base Matrix'!E$58*$W$2*$AD$2*$AE$2+'Demand Base Matrix'!E$60+'Demand Base Matrix'!E$61*$AF$2),IF($C86="Explore",('Demand Base Matrix'!E$82*$AC$2*$AD$2*$AE$2*$AF$2+'Demand Base Matrix'!E$83*$W$2*$AC$2*$AD$2*$AE$2*$AF$2+'Demand Base Matrix'!E$84)))))</f>
        <v>10</v>
      </c>
      <c r="AI86">
        <f>IF($C86="Validate",(('Demand Base Matrix'!F$2+'Demand Base Matrix'!F$6)*$AC$2*$AD$2*$AE$2+('Demand Base Matrix'!F$3+'Demand Base Matrix'!F$4)*$W$2*$AD$2+'Demand Base Matrix'!F$5*$W$2*$AD$2*$AE$2+'Demand Base Matrix'!F$7+'Demand Base Matrix'!F$8*$AF$2),IF($C86="Integrate",(('Demand Base Matrix'!F$28+'Demand Base Matrix'!F$32)*$AC$2*$AD$2*$AE$2+('Demand Base Matrix'!F$29+'Demand Base Matrix'!F$30)*$W$2*$AD$2+'Demand Base Matrix'!F$31*$W$2*$AD$2*$AE$2+'Demand Base Matrix'!F$33+'Demand Base Matrix'!F$34*$AF$2),IF($C86="Bond",(('Demand Base Matrix'!F$55+'Demand Base Matrix'!F$59)*$AC$2*$AD$2*$AE$2+('Demand Base Matrix'!F$56+'Demand Base Matrix'!F$57)*$W$2*$AD$2+'Demand Base Matrix'!F$58*$W$2*$AD$2*$AE$2+'Demand Base Matrix'!F$60+'Demand Base Matrix'!F$61*$AF$2),IF($C86="Explore",('Demand Base Matrix'!F$82*$AC$2*$AD$2*$AE$2*$AF$2+'Demand Base Matrix'!F$83*$W$2*$AC$2*$AD$2*$AE$2*$AF$2+'Demand Base Matrix'!F$84)))))</f>
        <v>10</v>
      </c>
      <c r="AJ86">
        <f>IF($C86="Validate",(('Demand Base Matrix'!G$2+'Demand Base Matrix'!G$6)*$AC$2*$AD$2*$AE$2+('Demand Base Matrix'!G$3+'Demand Base Matrix'!G$4)*$W$2*$AD$2+'Demand Base Matrix'!G$5*$W$2*$AD$2*$AE$2+'Demand Base Matrix'!G$7+'Demand Base Matrix'!G$8*$AF$2),IF($C86="Integrate",(('Demand Base Matrix'!G$28+'Demand Base Matrix'!G$32)*$AC$2*$AD$2*$AE$2+('Demand Base Matrix'!G$29+'Demand Base Matrix'!G$30)*$W$2*$AD$2+'Demand Base Matrix'!G$31*$W$2*$AD$2*$AE$2+'Demand Base Matrix'!G$33+'Demand Base Matrix'!G$34*$AF$2),IF($C86="Bond",(('Demand Base Matrix'!G$55+'Demand Base Matrix'!G$59)*$AC$2*$AD$2*$AE$2+('Demand Base Matrix'!G$56+'Demand Base Matrix'!G$57)*$W$2*$AD$2+'Demand Base Matrix'!G$58*$W$2*$AD$2*$AE$2+'Demand Base Matrix'!G$60+'Demand Base Matrix'!G$61*$AF$2),IF($C86="Explore",('Demand Base Matrix'!G$82*$AC$2*$AD$2*$AE$2*$AF$2+'Demand Base Matrix'!G$83*$W$2*$AC$2*$AD$2*$AE$2*$AF$2+'Demand Base Matrix'!G$84)))))</f>
        <v>50</v>
      </c>
      <c r="AK86">
        <f>IF($C86="Validate",(('Demand Base Matrix'!H$2+'Demand Base Matrix'!H$6)*$AC$2*$AD$2*$AE$2+('Demand Base Matrix'!H$3+'Demand Base Matrix'!H$4)*$W$2*$AD$2+'Demand Base Matrix'!H$5*$W$2*$AD$2*$AE$2+'Demand Base Matrix'!H$7+'Demand Base Matrix'!H$8*$AF$2),IF($C86="Integrate",(('Demand Base Matrix'!H$28+'Demand Base Matrix'!H$32)*$AC$2*$AD$2*$AE$2+('Demand Base Matrix'!H$29+'Demand Base Matrix'!H$30)*$W$2*$AD$2+'Demand Base Matrix'!H$31*$W$2*$AD$2*$AE$2+'Demand Base Matrix'!H$33+'Demand Base Matrix'!H$34*$AF$2),IF($C86="Bond",(('Demand Base Matrix'!H$55+'Demand Base Matrix'!H$59)*$AC$2*$AD$2*$AE$2+('Demand Base Matrix'!H$56+'Demand Base Matrix'!H$57)*$W$2*$AD$2+'Demand Base Matrix'!H$58*$W$2*$AD$2*$AE$2+'Demand Base Matrix'!H$60+'Demand Base Matrix'!H$61*$AF$2),IF($C86="Explore",('Demand Base Matrix'!H$82*$AC$2*$AD$2*$AE$2*$AF$2+'Demand Base Matrix'!H$83*$W$2*$AC$2*$AD$2*$AE$2*$AF$2+'Demand Base Matrix'!H$84)))))</f>
        <v>28</v>
      </c>
      <c r="AL86">
        <f>IF($C86="Validate",(('Demand Base Matrix'!I$2+'Demand Base Matrix'!I$6)*$AC$2*$AD$2*$AE$2+('Demand Base Matrix'!I$3+'Demand Base Matrix'!I$4)*$W$2*$AD$2+'Demand Base Matrix'!I$5*$W$2*$AD$2*$AE$2+'Demand Base Matrix'!I$7+'Demand Base Matrix'!I$8*$AF$2),IF($C86="Integrate",(('Demand Base Matrix'!I$28+'Demand Base Matrix'!I$32)*$AC$2*$AD$2*$AE$2+('Demand Base Matrix'!I$29+'Demand Base Matrix'!I$30)*$W$2*$AD$2+'Demand Base Matrix'!I$31*$W$2*$AD$2*$AE$2+'Demand Base Matrix'!I$33+'Demand Base Matrix'!I$34*$AF$2),IF($C86="Bond",(('Demand Base Matrix'!I$55+'Demand Base Matrix'!I$59)*$AC$2*$AD$2*$AE$2+('Demand Base Matrix'!I$56+'Demand Base Matrix'!I$57)*$W$2*$AD$2+'Demand Base Matrix'!I$58*$W$2*$AD$2*$AE$2+'Demand Base Matrix'!I$60+'Demand Base Matrix'!I$61*$AF$2),IF($C86="Explore",('Demand Base Matrix'!I$82*$AC$2*$AD$2*$AE$2*$AF$2+'Demand Base Matrix'!I$83*$W$2*$AC$2*$AD$2*$AE$2*$AF$2+'Demand Base Matrix'!I$84)))))</f>
        <v>8</v>
      </c>
      <c r="AM86">
        <f>IF($C86="Validate",(('Demand Base Matrix'!J$2+'Demand Base Matrix'!J$6)*$AC$2*$AD$2*$AE$2+('Demand Base Matrix'!J$3+'Demand Base Matrix'!J$4)*$W$2*$AD$2+'Demand Base Matrix'!J$5*$W$2*$AD$2*$AE$2+'Demand Base Matrix'!J$7+'Demand Base Matrix'!J$8*$AF$2),IF($C86="Integrate",(('Demand Base Matrix'!J$28+'Demand Base Matrix'!J$32)*$AC$2*$AD$2*$AE$2+('Demand Base Matrix'!J$29+'Demand Base Matrix'!J$30)*$W$2*$AD$2+'Demand Base Matrix'!J$31*$W$2*$AD$2*$AE$2+'Demand Base Matrix'!J$33+'Demand Base Matrix'!J$34*$AF$2),IF($C86="Bond",(('Demand Base Matrix'!J$55+'Demand Base Matrix'!J$59)*$AC$2*$AD$2*$AE$2+('Demand Base Matrix'!J$56+'Demand Base Matrix'!J$57)*$W$2*$AD$2+'Demand Base Matrix'!J$58*$W$2*$AD$2*$AE$2+'Demand Base Matrix'!J$60+'Demand Base Matrix'!J$61*$AF$2),IF($C86="Explore",('Demand Base Matrix'!J$82*$AC$2*$AD$2*$AE$2*$AF$2+'Demand Base Matrix'!J$83*$W$2*$AC$2*$AD$2*$AE$2*$AF$2+'Demand Base Matrix'!J$84)))))</f>
        <v>8</v>
      </c>
    </row>
    <row r="87" spans="1:39" x14ac:dyDescent="0.2">
      <c r="A87" t="s">
        <v>796</v>
      </c>
      <c r="B87" t="s">
        <v>215</v>
      </c>
      <c r="C87" t="s">
        <v>32</v>
      </c>
      <c r="D87" t="s">
        <v>177</v>
      </c>
      <c r="E87" t="s">
        <v>25</v>
      </c>
      <c r="F87" t="s">
        <v>109</v>
      </c>
      <c r="I87" t="str">
        <f>IFERROR(INDEX('Customer 360'!F:F,MATCH(B87,'Customer 360'!A:A,0)),"-")</f>
        <v>A</v>
      </c>
      <c r="J87">
        <v>19874</v>
      </c>
      <c r="K87"/>
      <c r="L87" s="4">
        <v>46171</v>
      </c>
      <c r="M87" s="4">
        <v>46171</v>
      </c>
      <c r="N87">
        <v>2026</v>
      </c>
      <c r="O87" s="4">
        <v>46023</v>
      </c>
      <c r="P87" t="s">
        <v>217</v>
      </c>
      <c r="Q87" s="18">
        <f t="shared" si="19"/>
        <v>46023</v>
      </c>
      <c r="R87" s="18">
        <f>IFERROR(IF(M87&lt;&gt;"",M87,IF(L87&lt;&gt;"",L87,INDEX('CSM RDD'!B:B,MATCH(B87,'CSM RDD'!A:A,0)))),"-")</f>
        <v>46171</v>
      </c>
      <c r="S87" s="18">
        <f t="shared" si="21"/>
        <v>46023</v>
      </c>
      <c r="T87" s="18">
        <f t="shared" si="22"/>
        <v>46143</v>
      </c>
      <c r="U87" s="6">
        <f t="shared" si="23"/>
        <v>19874</v>
      </c>
      <c r="V87" s="18">
        <f t="shared" si="20"/>
        <v>46082</v>
      </c>
      <c r="W87">
        <f>IF(U87=0,1,IF(U87&lt;='Demand Base Matrix'!$K$3,'Demand Base Matrix'!$L$3,IF(U87&lt;='Demand Base Matrix'!$K$4,'Demand Base Matrix'!$L$4,IF(U87&lt;='Demand Base Matrix'!$K$5,'Demand Base Matrix'!$L$5,IF(U87&lt;='Demand Base Matrix'!$K$6,'Demand Base Matrix'!$L$6,IF(U87&lt;='Demand Base Matrix'!$K$7,'Demand Base Matrix'!$L$7))))))</f>
        <v>1.5</v>
      </c>
      <c r="X87" s="4">
        <f t="shared" si="24"/>
        <v>46143</v>
      </c>
      <c r="Y87" t="str">
        <f t="shared" si="25"/>
        <v>Dx</v>
      </c>
      <c r="Z87" t="s">
        <v>685</v>
      </c>
      <c r="AA87" t="s">
        <v>685</v>
      </c>
      <c r="AB87" t="s">
        <v>685</v>
      </c>
      <c r="AC87">
        <f>IFERROR(INDEX('Demand Base Matrix'!AM:AM,MATCH(Y87,'Demand Base Matrix'!AL:AL,0)),"-")</f>
        <v>1</v>
      </c>
      <c r="AD87">
        <f>IFERROR(INDEX('Demand Base Matrix'!AO:AO,MATCH(Z87,'Demand Base Matrix'!AN:AN,0)),1)</f>
        <v>1</v>
      </c>
      <c r="AE87">
        <f>IFERROR(INDEX('Demand Base Matrix'!AQ:AQ,MATCH(AA87,'Demand Base Matrix'!AP:AP,0)),1)</f>
        <v>1</v>
      </c>
      <c r="AF87">
        <f>IFERROR(INDEX('Demand Base Matrix'!AS:AS,MATCH(AB87,'Demand Base Matrix'!AR:AR,0)),1)</f>
        <v>1</v>
      </c>
      <c r="AG87">
        <f>IF($C87="Validate",(('Demand Base Matrix'!D$2+'Demand Base Matrix'!D$6)*$AC$2*$AD$2*$AE$2+('Demand Base Matrix'!D$3+'Demand Base Matrix'!D$4)*$W$2*$AD$2+'Demand Base Matrix'!D$5*$W$2*$AD$2*$AE$2+'Demand Base Matrix'!D$7+'Demand Base Matrix'!D$8*$AF$2),IF($C87="Integrate",(('Demand Base Matrix'!D$28+'Demand Base Matrix'!D$32)*$AC$2*$AD$2*$AE$2+('Demand Base Matrix'!D$29+'Demand Base Matrix'!D$30)*$W$2*$AD$2+'Demand Base Matrix'!D$31*$W$2*$AD$2*$AE$2+'Demand Base Matrix'!D$33+'Demand Base Matrix'!D$34*$AF$2),IF($C87="Bond",(('Demand Base Matrix'!D$55+'Demand Base Matrix'!D$59)*$AC$2*$AD$2*$AE$2+('Demand Base Matrix'!D$56+'Demand Base Matrix'!D$57)*$W$2*$AD$2+'Demand Base Matrix'!D$58*$W$2*$AD$2*$AE$2+'Demand Base Matrix'!D$60+'Demand Base Matrix'!D$61*$AF$2),IF($C87="Explore",('Demand Base Matrix'!D$82*$AC$2*$AD$2*$AE$2*$AF$2+'Demand Base Matrix'!D$83*$W$2*$AC$2*$AD$2*$AE$2*$AF$2+'Demand Base Matrix'!D$84)))))</f>
        <v>10</v>
      </c>
      <c r="AH87">
        <f>IF($C87="Validate",(('Demand Base Matrix'!E$2+'Demand Base Matrix'!E$6)*$AC$2*$AD$2*$AE$2+('Demand Base Matrix'!E$3+'Demand Base Matrix'!E$4)*$W$2*$AD$2+'Demand Base Matrix'!E$5*$W$2*$AD$2*$AE$2+'Demand Base Matrix'!E$7+'Demand Base Matrix'!E$8*$AF$2),IF($C87="Integrate",(('Demand Base Matrix'!E$28+'Demand Base Matrix'!E$32)*$AC$2*$AD$2*$AE$2+('Demand Base Matrix'!E$29+'Demand Base Matrix'!E$30)*$W$2*$AD$2+'Demand Base Matrix'!E$31*$W$2*$AD$2*$AE$2+'Demand Base Matrix'!E$33+'Demand Base Matrix'!E$34*$AF$2),IF($C87="Bond",(('Demand Base Matrix'!E$55+'Demand Base Matrix'!E$59)*$AC$2*$AD$2*$AE$2+('Demand Base Matrix'!E$56+'Demand Base Matrix'!E$57)*$W$2*$AD$2+'Demand Base Matrix'!E$58*$W$2*$AD$2*$AE$2+'Demand Base Matrix'!E$60+'Demand Base Matrix'!E$61*$AF$2),IF($C87="Explore",('Demand Base Matrix'!E$82*$AC$2*$AD$2*$AE$2*$AF$2+'Demand Base Matrix'!E$83*$W$2*$AC$2*$AD$2*$AE$2*$AF$2+'Demand Base Matrix'!E$84)))))</f>
        <v>20</v>
      </c>
      <c r="AI87">
        <f>IF($C87="Validate",(('Demand Base Matrix'!F$2+'Demand Base Matrix'!F$6)*$AC$2*$AD$2*$AE$2+('Demand Base Matrix'!F$3+'Demand Base Matrix'!F$4)*$W$2*$AD$2+'Demand Base Matrix'!F$5*$W$2*$AD$2*$AE$2+'Demand Base Matrix'!F$7+'Demand Base Matrix'!F$8*$AF$2),IF($C87="Integrate",(('Demand Base Matrix'!F$28+'Demand Base Matrix'!F$32)*$AC$2*$AD$2*$AE$2+('Demand Base Matrix'!F$29+'Demand Base Matrix'!F$30)*$W$2*$AD$2+'Demand Base Matrix'!F$31*$W$2*$AD$2*$AE$2+'Demand Base Matrix'!F$33+'Demand Base Matrix'!F$34*$AF$2),IF($C87="Bond",(('Demand Base Matrix'!F$55+'Demand Base Matrix'!F$59)*$AC$2*$AD$2*$AE$2+('Demand Base Matrix'!F$56+'Demand Base Matrix'!F$57)*$W$2*$AD$2+'Demand Base Matrix'!F$58*$W$2*$AD$2*$AE$2+'Demand Base Matrix'!F$60+'Demand Base Matrix'!F$61*$AF$2),IF($C87="Explore",('Demand Base Matrix'!F$82*$AC$2*$AD$2*$AE$2*$AF$2+'Demand Base Matrix'!F$83*$W$2*$AC$2*$AD$2*$AE$2*$AF$2+'Demand Base Matrix'!F$84)))))</f>
        <v>10</v>
      </c>
      <c r="AJ87">
        <f>IF($C87="Validate",(('Demand Base Matrix'!G$2+'Demand Base Matrix'!G$6)*$AC$2*$AD$2*$AE$2+('Demand Base Matrix'!G$3+'Demand Base Matrix'!G$4)*$W$2*$AD$2+'Demand Base Matrix'!G$5*$W$2*$AD$2*$AE$2+'Demand Base Matrix'!G$7+'Demand Base Matrix'!G$8*$AF$2),IF($C87="Integrate",(('Demand Base Matrix'!G$28+'Demand Base Matrix'!G$32)*$AC$2*$AD$2*$AE$2+('Demand Base Matrix'!G$29+'Demand Base Matrix'!G$30)*$W$2*$AD$2+'Demand Base Matrix'!G$31*$W$2*$AD$2*$AE$2+'Demand Base Matrix'!G$33+'Demand Base Matrix'!G$34*$AF$2),IF($C87="Bond",(('Demand Base Matrix'!G$55+'Demand Base Matrix'!G$59)*$AC$2*$AD$2*$AE$2+('Demand Base Matrix'!G$56+'Demand Base Matrix'!G$57)*$W$2*$AD$2+'Demand Base Matrix'!G$58*$W$2*$AD$2*$AE$2+'Demand Base Matrix'!G$60+'Demand Base Matrix'!G$61*$AF$2),IF($C87="Explore",('Demand Base Matrix'!G$82*$AC$2*$AD$2*$AE$2*$AF$2+'Demand Base Matrix'!G$83*$W$2*$AC$2*$AD$2*$AE$2*$AF$2+'Demand Base Matrix'!G$84)))))</f>
        <v>60</v>
      </c>
      <c r="AK87">
        <f>IF($C87="Validate",(('Demand Base Matrix'!H$2+'Demand Base Matrix'!H$6)*$AC$2*$AD$2*$AE$2+('Demand Base Matrix'!H$3+'Demand Base Matrix'!H$4)*$W$2*$AD$2+'Demand Base Matrix'!H$5*$W$2*$AD$2*$AE$2+'Demand Base Matrix'!H$7+'Demand Base Matrix'!H$8*$AF$2),IF($C87="Integrate",(('Demand Base Matrix'!H$28+'Demand Base Matrix'!H$32)*$AC$2*$AD$2*$AE$2+('Demand Base Matrix'!H$29+'Demand Base Matrix'!H$30)*$W$2*$AD$2+'Demand Base Matrix'!H$31*$W$2*$AD$2*$AE$2+'Demand Base Matrix'!H$33+'Demand Base Matrix'!H$34*$AF$2),IF($C87="Bond",(('Demand Base Matrix'!H$55+'Demand Base Matrix'!H$59)*$AC$2*$AD$2*$AE$2+('Demand Base Matrix'!H$56+'Demand Base Matrix'!H$57)*$W$2*$AD$2+'Demand Base Matrix'!H$58*$W$2*$AD$2*$AE$2+'Demand Base Matrix'!H$60+'Demand Base Matrix'!H$61*$AF$2),IF($C87="Explore",('Demand Base Matrix'!H$82*$AC$2*$AD$2*$AE$2*$AF$2+'Demand Base Matrix'!H$83*$W$2*$AC$2*$AD$2*$AE$2*$AF$2+'Demand Base Matrix'!H$84)))))</f>
        <v>28</v>
      </c>
      <c r="AL87">
        <f>IF($C87="Validate",(('Demand Base Matrix'!I$2+'Demand Base Matrix'!I$6)*$AC$2*$AD$2*$AE$2+('Demand Base Matrix'!I$3+'Demand Base Matrix'!I$4)*$W$2*$AD$2+'Demand Base Matrix'!I$5*$W$2*$AD$2*$AE$2+'Demand Base Matrix'!I$7+'Demand Base Matrix'!I$8*$AF$2),IF($C87="Integrate",(('Demand Base Matrix'!I$28+'Demand Base Matrix'!I$32)*$AC$2*$AD$2*$AE$2+('Demand Base Matrix'!I$29+'Demand Base Matrix'!I$30)*$W$2*$AD$2+'Demand Base Matrix'!I$31*$W$2*$AD$2*$AE$2+'Demand Base Matrix'!I$33+'Demand Base Matrix'!I$34*$AF$2),IF($C87="Bond",(('Demand Base Matrix'!I$55+'Demand Base Matrix'!I$59)*$AC$2*$AD$2*$AE$2+('Demand Base Matrix'!I$56+'Demand Base Matrix'!I$57)*$W$2*$AD$2+'Demand Base Matrix'!I$58*$W$2*$AD$2*$AE$2+'Demand Base Matrix'!I$60+'Demand Base Matrix'!I$61*$AF$2),IF($C87="Explore",('Demand Base Matrix'!I$82*$AC$2*$AD$2*$AE$2*$AF$2+'Demand Base Matrix'!I$83*$W$2*$AC$2*$AD$2*$AE$2*$AF$2+'Demand Base Matrix'!I$84)))))</f>
        <v>8</v>
      </c>
      <c r="AM87">
        <f>IF($C87="Validate",(('Demand Base Matrix'!J$2+'Demand Base Matrix'!J$6)*$AC$2*$AD$2*$AE$2+('Demand Base Matrix'!J$3+'Demand Base Matrix'!J$4)*$W$2*$AD$2+'Demand Base Matrix'!J$5*$W$2*$AD$2*$AE$2+'Demand Base Matrix'!J$7+'Demand Base Matrix'!J$8*$AF$2),IF($C87="Integrate",(('Demand Base Matrix'!J$28+'Demand Base Matrix'!J$32)*$AC$2*$AD$2*$AE$2+('Demand Base Matrix'!J$29+'Demand Base Matrix'!J$30)*$W$2*$AD$2+'Demand Base Matrix'!J$31*$W$2*$AD$2*$AE$2+'Demand Base Matrix'!J$33+'Demand Base Matrix'!J$34*$AF$2),IF($C87="Bond",(('Demand Base Matrix'!J$55+'Demand Base Matrix'!J$59)*$AC$2*$AD$2*$AE$2+('Demand Base Matrix'!J$56+'Demand Base Matrix'!J$57)*$W$2*$AD$2+'Demand Base Matrix'!J$58*$W$2*$AD$2*$AE$2+'Demand Base Matrix'!J$60+'Demand Base Matrix'!J$61*$AF$2),IF($C87="Explore",('Demand Base Matrix'!J$82*$AC$2*$AD$2*$AE$2*$AF$2+'Demand Base Matrix'!J$83*$W$2*$AC$2*$AD$2*$AE$2*$AF$2+'Demand Base Matrix'!J$84)))))</f>
        <v>8</v>
      </c>
    </row>
    <row r="88" spans="1:39" x14ac:dyDescent="0.2">
      <c r="A88" t="s">
        <v>797</v>
      </c>
      <c r="B88" t="s">
        <v>108</v>
      </c>
      <c r="C88" t="s">
        <v>23</v>
      </c>
      <c r="D88" t="s">
        <v>69</v>
      </c>
      <c r="E88" t="s">
        <v>115</v>
      </c>
      <c r="F88" t="s">
        <v>93</v>
      </c>
      <c r="I88" t="str">
        <f>IFERROR(INDEX('Customer 360'!F:F,MATCH(B88,'Customer 360'!A:A,0)),"-")</f>
        <v>D</v>
      </c>
      <c r="J88">
        <v>1165</v>
      </c>
      <c r="K88"/>
      <c r="L88" s="4">
        <v>46338</v>
      </c>
      <c r="M88" s="4">
        <v>46338</v>
      </c>
      <c r="N88">
        <v>2026</v>
      </c>
      <c r="O88" s="4">
        <v>46023</v>
      </c>
      <c r="P88" t="s">
        <v>217</v>
      </c>
      <c r="Q88" s="18">
        <f t="shared" si="19"/>
        <v>46023</v>
      </c>
      <c r="R88" s="18">
        <f>IFERROR(IF(M88&lt;&gt;"",M88,IF(L88&lt;&gt;"",L88,INDEX('CSM RDD'!B:B,MATCH(B88,'CSM RDD'!A:A,0)))),"-")</f>
        <v>46338</v>
      </c>
      <c r="S88" s="18">
        <f t="shared" si="21"/>
        <v>46023</v>
      </c>
      <c r="T88" s="18">
        <f t="shared" si="22"/>
        <v>46327</v>
      </c>
      <c r="U88" s="6">
        <f t="shared" si="23"/>
        <v>1165</v>
      </c>
      <c r="V88" s="18">
        <f t="shared" si="20"/>
        <v>46082</v>
      </c>
      <c r="W88">
        <f>IF(U88=0,1,IF(U88&lt;='Demand Base Matrix'!$K$3,'Demand Base Matrix'!$L$3,IF(U88&lt;='Demand Base Matrix'!$K$4,'Demand Base Matrix'!$L$4,IF(U88&lt;='Demand Base Matrix'!$K$5,'Demand Base Matrix'!$L$5,IF(U88&lt;='Demand Base Matrix'!$K$6,'Demand Base Matrix'!$L$6,IF(U88&lt;='Demand Base Matrix'!$K$7,'Demand Base Matrix'!$L$7))))))</f>
        <v>1</v>
      </c>
      <c r="X88" s="4">
        <f t="shared" si="24"/>
        <v>46327</v>
      </c>
      <c r="Y88" t="str">
        <f t="shared" si="25"/>
        <v>Dx</v>
      </c>
      <c r="Z88" t="s">
        <v>685</v>
      </c>
      <c r="AA88" t="s">
        <v>685</v>
      </c>
      <c r="AB88" t="s">
        <v>685</v>
      </c>
      <c r="AC88">
        <f>IFERROR(INDEX('Demand Base Matrix'!AM:AM,MATCH(Y88,'Demand Base Matrix'!AL:AL,0)),"-")</f>
        <v>1</v>
      </c>
      <c r="AD88">
        <f>IFERROR(INDEX('Demand Base Matrix'!AO:AO,MATCH(Z88,'Demand Base Matrix'!AN:AN,0)),1)</f>
        <v>1</v>
      </c>
      <c r="AE88">
        <f>IFERROR(INDEX('Demand Base Matrix'!AQ:AQ,MATCH(AA88,'Demand Base Matrix'!AP:AP,0)),1)</f>
        <v>1</v>
      </c>
      <c r="AF88">
        <f>IFERROR(INDEX('Demand Base Matrix'!AS:AS,MATCH(AB88,'Demand Base Matrix'!AR:AR,0)),1)</f>
        <v>1</v>
      </c>
      <c r="AG88">
        <f>IF($C88="Validate",(('Demand Base Matrix'!D$2+'Demand Base Matrix'!D$6)*$AC$2*$AD$2*$AE$2+('Demand Base Matrix'!D$3+'Demand Base Matrix'!D$4)*$W$2*$AD$2+'Demand Base Matrix'!D$5*$W$2*$AD$2*$AE$2+'Demand Base Matrix'!D$7+'Demand Base Matrix'!D$8*$AF$2),IF($C88="Integrate",(('Demand Base Matrix'!D$28+'Demand Base Matrix'!D$32)*$AC$2*$AD$2*$AE$2+('Demand Base Matrix'!D$29+'Demand Base Matrix'!D$30)*$W$2*$AD$2+'Demand Base Matrix'!D$31*$W$2*$AD$2*$AE$2+'Demand Base Matrix'!D$33+'Demand Base Matrix'!D$34*$AF$2),IF($C88="Bond",(('Demand Base Matrix'!D$55+'Demand Base Matrix'!D$59)*$AC$2*$AD$2*$AE$2+('Demand Base Matrix'!D$56+'Demand Base Matrix'!D$57)*$W$2*$AD$2+'Demand Base Matrix'!D$58*$W$2*$AD$2*$AE$2+'Demand Base Matrix'!D$60+'Demand Base Matrix'!D$61*$AF$2),IF($C88="Explore",('Demand Base Matrix'!D$82*$AC$2*$AD$2*$AE$2*$AF$2+'Demand Base Matrix'!D$83*$W$2*$AC$2*$AD$2*$AE$2*$AF$2+'Demand Base Matrix'!D$84)))))</f>
        <v>10</v>
      </c>
      <c r="AH88">
        <f>IF($C88="Validate",(('Demand Base Matrix'!E$2+'Demand Base Matrix'!E$6)*$AC$2*$AD$2*$AE$2+('Demand Base Matrix'!E$3+'Demand Base Matrix'!E$4)*$W$2*$AD$2+'Demand Base Matrix'!E$5*$W$2*$AD$2*$AE$2+'Demand Base Matrix'!E$7+'Demand Base Matrix'!E$8*$AF$2),IF($C88="Integrate",(('Demand Base Matrix'!E$28+'Demand Base Matrix'!E$32)*$AC$2*$AD$2*$AE$2+('Demand Base Matrix'!E$29+'Demand Base Matrix'!E$30)*$W$2*$AD$2+'Demand Base Matrix'!E$31*$W$2*$AD$2*$AE$2+'Demand Base Matrix'!E$33+'Demand Base Matrix'!E$34*$AF$2),IF($C88="Bond",(('Demand Base Matrix'!E$55+'Demand Base Matrix'!E$59)*$AC$2*$AD$2*$AE$2+('Demand Base Matrix'!E$56+'Demand Base Matrix'!E$57)*$W$2*$AD$2+'Demand Base Matrix'!E$58*$W$2*$AD$2*$AE$2+'Demand Base Matrix'!E$60+'Demand Base Matrix'!E$61*$AF$2),IF($C88="Explore",('Demand Base Matrix'!E$82*$AC$2*$AD$2*$AE$2*$AF$2+'Demand Base Matrix'!E$83*$W$2*$AC$2*$AD$2*$AE$2*$AF$2+'Demand Base Matrix'!E$84)))))</f>
        <v>10</v>
      </c>
      <c r="AI88">
        <f>IF($C88="Validate",(('Demand Base Matrix'!F$2+'Demand Base Matrix'!F$6)*$AC$2*$AD$2*$AE$2+('Demand Base Matrix'!F$3+'Demand Base Matrix'!F$4)*$W$2*$AD$2+'Demand Base Matrix'!F$5*$W$2*$AD$2*$AE$2+'Demand Base Matrix'!F$7+'Demand Base Matrix'!F$8*$AF$2),IF($C88="Integrate",(('Demand Base Matrix'!F$28+'Demand Base Matrix'!F$32)*$AC$2*$AD$2*$AE$2+('Demand Base Matrix'!F$29+'Demand Base Matrix'!F$30)*$W$2*$AD$2+'Demand Base Matrix'!F$31*$W$2*$AD$2*$AE$2+'Demand Base Matrix'!F$33+'Demand Base Matrix'!F$34*$AF$2),IF($C88="Bond",(('Demand Base Matrix'!F$55+'Demand Base Matrix'!F$59)*$AC$2*$AD$2*$AE$2+('Demand Base Matrix'!F$56+'Demand Base Matrix'!F$57)*$W$2*$AD$2+'Demand Base Matrix'!F$58*$W$2*$AD$2*$AE$2+'Demand Base Matrix'!F$60+'Demand Base Matrix'!F$61*$AF$2),IF($C88="Explore",('Demand Base Matrix'!F$82*$AC$2*$AD$2*$AE$2*$AF$2+'Demand Base Matrix'!F$83*$W$2*$AC$2*$AD$2*$AE$2*$AF$2+'Demand Base Matrix'!F$84)))))</f>
        <v>10</v>
      </c>
      <c r="AJ88">
        <f>IF($C88="Validate",(('Demand Base Matrix'!G$2+'Demand Base Matrix'!G$6)*$AC$2*$AD$2*$AE$2+('Demand Base Matrix'!G$3+'Demand Base Matrix'!G$4)*$W$2*$AD$2+'Demand Base Matrix'!G$5*$W$2*$AD$2*$AE$2+'Demand Base Matrix'!G$7+'Demand Base Matrix'!G$8*$AF$2),IF($C88="Integrate",(('Demand Base Matrix'!G$28+'Demand Base Matrix'!G$32)*$AC$2*$AD$2*$AE$2+('Demand Base Matrix'!G$29+'Demand Base Matrix'!G$30)*$W$2*$AD$2+'Demand Base Matrix'!G$31*$W$2*$AD$2*$AE$2+'Demand Base Matrix'!G$33+'Demand Base Matrix'!G$34*$AF$2),IF($C88="Bond",(('Demand Base Matrix'!G$55+'Demand Base Matrix'!G$59)*$AC$2*$AD$2*$AE$2+('Demand Base Matrix'!G$56+'Demand Base Matrix'!G$57)*$W$2*$AD$2+'Demand Base Matrix'!G$58*$W$2*$AD$2*$AE$2+'Demand Base Matrix'!G$60+'Demand Base Matrix'!G$61*$AF$2),IF($C88="Explore",('Demand Base Matrix'!G$82*$AC$2*$AD$2*$AE$2*$AF$2+'Demand Base Matrix'!G$83*$W$2*$AC$2*$AD$2*$AE$2*$AF$2+'Demand Base Matrix'!G$84)))))</f>
        <v>50</v>
      </c>
      <c r="AK88">
        <f>IF($C88="Validate",(('Demand Base Matrix'!H$2+'Demand Base Matrix'!H$6)*$AC$2*$AD$2*$AE$2+('Demand Base Matrix'!H$3+'Demand Base Matrix'!H$4)*$W$2*$AD$2+'Demand Base Matrix'!H$5*$W$2*$AD$2*$AE$2+'Demand Base Matrix'!H$7+'Demand Base Matrix'!H$8*$AF$2),IF($C88="Integrate",(('Demand Base Matrix'!H$28+'Demand Base Matrix'!H$32)*$AC$2*$AD$2*$AE$2+('Demand Base Matrix'!H$29+'Demand Base Matrix'!H$30)*$W$2*$AD$2+'Demand Base Matrix'!H$31*$W$2*$AD$2*$AE$2+'Demand Base Matrix'!H$33+'Demand Base Matrix'!H$34*$AF$2),IF($C88="Bond",(('Demand Base Matrix'!H$55+'Demand Base Matrix'!H$59)*$AC$2*$AD$2*$AE$2+('Demand Base Matrix'!H$56+'Demand Base Matrix'!H$57)*$W$2*$AD$2+'Demand Base Matrix'!H$58*$W$2*$AD$2*$AE$2+'Demand Base Matrix'!H$60+'Demand Base Matrix'!H$61*$AF$2),IF($C88="Explore",('Demand Base Matrix'!H$82*$AC$2*$AD$2*$AE$2*$AF$2+'Demand Base Matrix'!H$83*$W$2*$AC$2*$AD$2*$AE$2*$AF$2+'Demand Base Matrix'!H$84)))))</f>
        <v>28</v>
      </c>
      <c r="AL88">
        <f>IF($C88="Validate",(('Demand Base Matrix'!I$2+'Demand Base Matrix'!I$6)*$AC$2*$AD$2*$AE$2+('Demand Base Matrix'!I$3+'Demand Base Matrix'!I$4)*$W$2*$AD$2+'Demand Base Matrix'!I$5*$W$2*$AD$2*$AE$2+'Demand Base Matrix'!I$7+'Demand Base Matrix'!I$8*$AF$2),IF($C88="Integrate",(('Demand Base Matrix'!I$28+'Demand Base Matrix'!I$32)*$AC$2*$AD$2*$AE$2+('Demand Base Matrix'!I$29+'Demand Base Matrix'!I$30)*$W$2*$AD$2+'Demand Base Matrix'!I$31*$W$2*$AD$2*$AE$2+'Demand Base Matrix'!I$33+'Demand Base Matrix'!I$34*$AF$2),IF($C88="Bond",(('Demand Base Matrix'!I$55+'Demand Base Matrix'!I$59)*$AC$2*$AD$2*$AE$2+('Demand Base Matrix'!I$56+'Demand Base Matrix'!I$57)*$W$2*$AD$2+'Demand Base Matrix'!I$58*$W$2*$AD$2*$AE$2+'Demand Base Matrix'!I$60+'Demand Base Matrix'!I$61*$AF$2),IF($C88="Explore",('Demand Base Matrix'!I$82*$AC$2*$AD$2*$AE$2*$AF$2+'Demand Base Matrix'!I$83*$W$2*$AC$2*$AD$2*$AE$2*$AF$2+'Demand Base Matrix'!I$84)))))</f>
        <v>8</v>
      </c>
      <c r="AM88">
        <f>IF($C88="Validate",(('Demand Base Matrix'!J$2+'Demand Base Matrix'!J$6)*$AC$2*$AD$2*$AE$2+('Demand Base Matrix'!J$3+'Demand Base Matrix'!J$4)*$W$2*$AD$2+'Demand Base Matrix'!J$5*$W$2*$AD$2*$AE$2+'Demand Base Matrix'!J$7+'Demand Base Matrix'!J$8*$AF$2),IF($C88="Integrate",(('Demand Base Matrix'!J$28+'Demand Base Matrix'!J$32)*$AC$2*$AD$2*$AE$2+('Demand Base Matrix'!J$29+'Demand Base Matrix'!J$30)*$W$2*$AD$2+'Demand Base Matrix'!J$31*$W$2*$AD$2*$AE$2+'Demand Base Matrix'!J$33+'Demand Base Matrix'!J$34*$AF$2),IF($C88="Bond",(('Demand Base Matrix'!J$55+'Demand Base Matrix'!J$59)*$AC$2*$AD$2*$AE$2+('Demand Base Matrix'!J$56+'Demand Base Matrix'!J$57)*$W$2*$AD$2+'Demand Base Matrix'!J$58*$W$2*$AD$2*$AE$2+'Demand Base Matrix'!J$60+'Demand Base Matrix'!J$61*$AF$2),IF($C88="Explore",('Demand Base Matrix'!J$82*$AC$2*$AD$2*$AE$2*$AF$2+'Demand Base Matrix'!J$83*$W$2*$AC$2*$AD$2*$AE$2*$AF$2+'Demand Base Matrix'!J$84)))))</f>
        <v>8</v>
      </c>
    </row>
    <row r="89" spans="1:39" x14ac:dyDescent="0.2">
      <c r="A89" s="75" t="s">
        <v>804</v>
      </c>
      <c r="B89" t="s">
        <v>111</v>
      </c>
      <c r="C89" t="s">
        <v>32</v>
      </c>
      <c r="D89" t="s">
        <v>207</v>
      </c>
      <c r="E89" t="s">
        <v>699</v>
      </c>
      <c r="F89" t="s">
        <v>185</v>
      </c>
      <c r="I89" t="str">
        <f>IFERROR(INDEX('Customer 360'!F:F,MATCH(B89,'Customer 360'!A:A,0)),"-")</f>
        <v>A</v>
      </c>
      <c r="J89">
        <v>25000</v>
      </c>
      <c r="K89">
        <v>1</v>
      </c>
      <c r="L89" s="4">
        <v>46233</v>
      </c>
      <c r="M89" s="4">
        <v>46233</v>
      </c>
      <c r="N89">
        <v>2026</v>
      </c>
      <c r="O89" s="4">
        <v>46023</v>
      </c>
      <c r="P89" t="s">
        <v>217</v>
      </c>
      <c r="Q89" s="18">
        <f t="shared" si="19"/>
        <v>46023</v>
      </c>
      <c r="R89" s="18">
        <f>IFERROR(IF(M89&lt;&gt;"",M89,IF(L89&lt;&gt;"",L89,INDEX('CSM RDD'!B:B,MATCH(B89,'CSM RDD'!A:A,0)))),"-")</f>
        <v>46233</v>
      </c>
      <c r="S89" s="18">
        <f t="shared" si="21"/>
        <v>46023</v>
      </c>
      <c r="T89" s="18">
        <f t="shared" si="22"/>
        <v>46204</v>
      </c>
      <c r="U89" s="6">
        <f t="shared" si="23"/>
        <v>25001</v>
      </c>
      <c r="V89" s="18">
        <f t="shared" si="20"/>
        <v>46082</v>
      </c>
      <c r="W89">
        <f>IF(U89=0,1,IF(U89&lt;='Demand Base Matrix'!$K$3,'Demand Base Matrix'!$L$3,IF(U89&lt;='Demand Base Matrix'!$K$4,'Demand Base Matrix'!$L$4,IF(U89&lt;='Demand Base Matrix'!$K$5,'Demand Base Matrix'!$L$5,IF(U89&lt;='Demand Base Matrix'!$K$6,'Demand Base Matrix'!$L$6,IF(U89&lt;='Demand Base Matrix'!$K$7,'Demand Base Matrix'!$L$7))))))</f>
        <v>2</v>
      </c>
      <c r="X89" s="4">
        <f t="shared" si="24"/>
        <v>46204</v>
      </c>
      <c r="Y89" t="str">
        <f t="shared" si="25"/>
        <v>Tx</v>
      </c>
      <c r="Z89" t="s">
        <v>685</v>
      </c>
      <c r="AA89" t="s">
        <v>684</v>
      </c>
      <c r="AB89" t="s">
        <v>684</v>
      </c>
      <c r="AC89">
        <f>IFERROR(INDEX('Demand Base Matrix'!AM:AM,MATCH(Y89,'Demand Base Matrix'!AL:AL,0)),"-")</f>
        <v>1.5</v>
      </c>
      <c r="AD89">
        <f>IFERROR(INDEX('Demand Base Matrix'!AO:AO,MATCH(Z89,'Demand Base Matrix'!AN:AN,0)),1)</f>
        <v>1</v>
      </c>
      <c r="AE89">
        <f>IFERROR(INDEX('Demand Base Matrix'!AQ:AQ,MATCH(AA89,'Demand Base Matrix'!AP:AP,0)),1)</f>
        <v>1.5</v>
      </c>
      <c r="AF89">
        <f>IFERROR(INDEX('Demand Base Matrix'!AS:AS,MATCH(AB89,'Demand Base Matrix'!AR:AR,0)),1)</f>
        <v>1.5</v>
      </c>
      <c r="AG89">
        <f>IF($C89="Validate",(('Demand Base Matrix'!D$2+'Demand Base Matrix'!D$6)*$AC$2*$AD$2*$AE$2+('Demand Base Matrix'!D$3+'Demand Base Matrix'!D$4)*$W$2*$AD$2+'Demand Base Matrix'!D$5*$W$2*$AD$2*$AE$2+'Demand Base Matrix'!D$7+'Demand Base Matrix'!D$8*$AF$2),IF($C89="Integrate",(('Demand Base Matrix'!D$28+'Demand Base Matrix'!D$32)*$AC$2*$AD$2*$AE$2+('Demand Base Matrix'!D$29+'Demand Base Matrix'!D$30)*$W$2*$AD$2+'Demand Base Matrix'!D$31*$W$2*$AD$2*$AE$2+'Demand Base Matrix'!D$33+'Demand Base Matrix'!D$34*$AF$2),IF($C89="Bond",(('Demand Base Matrix'!D$55+'Demand Base Matrix'!D$59)*$AC$2*$AD$2*$AE$2+('Demand Base Matrix'!D$56+'Demand Base Matrix'!D$57)*$W$2*$AD$2+'Demand Base Matrix'!D$58*$W$2*$AD$2*$AE$2+'Demand Base Matrix'!D$60+'Demand Base Matrix'!D$61*$AF$2),IF($C89="Explore",('Demand Base Matrix'!D$82*$AC$2*$AD$2*$AE$2*$AF$2+'Demand Base Matrix'!D$83*$W$2*$AC$2*$AD$2*$AE$2*$AF$2+'Demand Base Matrix'!D$84)))))</f>
        <v>10</v>
      </c>
      <c r="AH89">
        <f>IF($C89="Validate",(('Demand Base Matrix'!E$2+'Demand Base Matrix'!E$6)*$AC$2*$AD$2*$AE$2+('Demand Base Matrix'!E$3+'Demand Base Matrix'!E$4)*$W$2*$AD$2+'Demand Base Matrix'!E$5*$W$2*$AD$2*$AE$2+'Demand Base Matrix'!E$7+'Demand Base Matrix'!E$8*$AF$2),IF($C89="Integrate",(('Demand Base Matrix'!E$28+'Demand Base Matrix'!E$32)*$AC$2*$AD$2*$AE$2+('Demand Base Matrix'!E$29+'Demand Base Matrix'!E$30)*$W$2*$AD$2+'Demand Base Matrix'!E$31*$W$2*$AD$2*$AE$2+'Demand Base Matrix'!E$33+'Demand Base Matrix'!E$34*$AF$2),IF($C89="Bond",(('Demand Base Matrix'!E$55+'Demand Base Matrix'!E$59)*$AC$2*$AD$2*$AE$2+('Demand Base Matrix'!E$56+'Demand Base Matrix'!E$57)*$W$2*$AD$2+'Demand Base Matrix'!E$58*$W$2*$AD$2*$AE$2+'Demand Base Matrix'!E$60+'Demand Base Matrix'!E$61*$AF$2),IF($C89="Explore",('Demand Base Matrix'!E$82*$AC$2*$AD$2*$AE$2*$AF$2+'Demand Base Matrix'!E$83*$W$2*$AC$2*$AD$2*$AE$2*$AF$2+'Demand Base Matrix'!E$84)))))</f>
        <v>20</v>
      </c>
      <c r="AI89">
        <f>IF($C89="Validate",(('Demand Base Matrix'!F$2+'Demand Base Matrix'!F$6)*$AC$2*$AD$2*$AE$2+('Demand Base Matrix'!F$3+'Demand Base Matrix'!F$4)*$W$2*$AD$2+'Demand Base Matrix'!F$5*$W$2*$AD$2*$AE$2+'Demand Base Matrix'!F$7+'Demand Base Matrix'!F$8*$AF$2),IF($C89="Integrate",(('Demand Base Matrix'!F$28+'Demand Base Matrix'!F$32)*$AC$2*$AD$2*$AE$2+('Demand Base Matrix'!F$29+'Demand Base Matrix'!F$30)*$W$2*$AD$2+'Demand Base Matrix'!F$31*$W$2*$AD$2*$AE$2+'Demand Base Matrix'!F$33+'Demand Base Matrix'!F$34*$AF$2),IF($C89="Bond",(('Demand Base Matrix'!F$55+'Demand Base Matrix'!F$59)*$AC$2*$AD$2*$AE$2+('Demand Base Matrix'!F$56+'Demand Base Matrix'!F$57)*$W$2*$AD$2+'Demand Base Matrix'!F$58*$W$2*$AD$2*$AE$2+'Demand Base Matrix'!F$60+'Demand Base Matrix'!F$61*$AF$2),IF($C89="Explore",('Demand Base Matrix'!F$82*$AC$2*$AD$2*$AE$2*$AF$2+'Demand Base Matrix'!F$83*$W$2*$AC$2*$AD$2*$AE$2*$AF$2+'Demand Base Matrix'!F$84)))))</f>
        <v>10</v>
      </c>
      <c r="AJ89">
        <f>IF($C89="Validate",(('Demand Base Matrix'!G$2+'Demand Base Matrix'!G$6)*$AC$2*$AD$2*$AE$2+('Demand Base Matrix'!G$3+'Demand Base Matrix'!G$4)*$W$2*$AD$2+'Demand Base Matrix'!G$5*$W$2*$AD$2*$AE$2+'Demand Base Matrix'!G$7+'Demand Base Matrix'!G$8*$AF$2),IF($C89="Integrate",(('Demand Base Matrix'!G$28+'Demand Base Matrix'!G$32)*$AC$2*$AD$2*$AE$2+('Demand Base Matrix'!G$29+'Demand Base Matrix'!G$30)*$W$2*$AD$2+'Demand Base Matrix'!G$31*$W$2*$AD$2*$AE$2+'Demand Base Matrix'!G$33+'Demand Base Matrix'!G$34*$AF$2),IF($C89="Bond",(('Demand Base Matrix'!G$55+'Demand Base Matrix'!G$59)*$AC$2*$AD$2*$AE$2+('Demand Base Matrix'!G$56+'Demand Base Matrix'!G$57)*$W$2*$AD$2+'Demand Base Matrix'!G$58*$W$2*$AD$2*$AE$2+'Demand Base Matrix'!G$60+'Demand Base Matrix'!G$61*$AF$2),IF($C89="Explore",('Demand Base Matrix'!G$82*$AC$2*$AD$2*$AE$2*$AF$2+'Demand Base Matrix'!G$83*$W$2*$AC$2*$AD$2*$AE$2*$AF$2+'Demand Base Matrix'!G$84)))))</f>
        <v>60</v>
      </c>
      <c r="AK89">
        <f>IF($C89="Validate",(('Demand Base Matrix'!H$2+'Demand Base Matrix'!H$6)*$AC$2*$AD$2*$AE$2+('Demand Base Matrix'!H$3+'Demand Base Matrix'!H$4)*$W$2*$AD$2+'Demand Base Matrix'!H$5*$W$2*$AD$2*$AE$2+'Demand Base Matrix'!H$7+'Demand Base Matrix'!H$8*$AF$2),IF($C89="Integrate",(('Demand Base Matrix'!H$28+'Demand Base Matrix'!H$32)*$AC$2*$AD$2*$AE$2+('Demand Base Matrix'!H$29+'Demand Base Matrix'!H$30)*$W$2*$AD$2+'Demand Base Matrix'!H$31*$W$2*$AD$2*$AE$2+'Demand Base Matrix'!H$33+'Demand Base Matrix'!H$34*$AF$2),IF($C89="Bond",(('Demand Base Matrix'!H$55+'Demand Base Matrix'!H$59)*$AC$2*$AD$2*$AE$2+('Demand Base Matrix'!H$56+'Demand Base Matrix'!H$57)*$W$2*$AD$2+'Demand Base Matrix'!H$58*$W$2*$AD$2*$AE$2+'Demand Base Matrix'!H$60+'Demand Base Matrix'!H$61*$AF$2),IF($C89="Explore",('Demand Base Matrix'!H$82*$AC$2*$AD$2*$AE$2*$AF$2+'Demand Base Matrix'!H$83*$W$2*$AC$2*$AD$2*$AE$2*$AF$2+'Demand Base Matrix'!H$84)))))</f>
        <v>28</v>
      </c>
      <c r="AL89">
        <f>IF($C89="Validate",(('Demand Base Matrix'!I$2+'Demand Base Matrix'!I$6)*$AC$2*$AD$2*$AE$2+('Demand Base Matrix'!I$3+'Demand Base Matrix'!I$4)*$W$2*$AD$2+'Demand Base Matrix'!I$5*$W$2*$AD$2*$AE$2+'Demand Base Matrix'!I$7+'Demand Base Matrix'!I$8*$AF$2),IF($C89="Integrate",(('Demand Base Matrix'!I$28+'Demand Base Matrix'!I$32)*$AC$2*$AD$2*$AE$2+('Demand Base Matrix'!I$29+'Demand Base Matrix'!I$30)*$W$2*$AD$2+'Demand Base Matrix'!I$31*$W$2*$AD$2*$AE$2+'Demand Base Matrix'!I$33+'Demand Base Matrix'!I$34*$AF$2),IF($C89="Bond",(('Demand Base Matrix'!I$55+'Demand Base Matrix'!I$59)*$AC$2*$AD$2*$AE$2+('Demand Base Matrix'!I$56+'Demand Base Matrix'!I$57)*$W$2*$AD$2+'Demand Base Matrix'!I$58*$W$2*$AD$2*$AE$2+'Demand Base Matrix'!I$60+'Demand Base Matrix'!I$61*$AF$2),IF($C89="Explore",('Demand Base Matrix'!I$82*$AC$2*$AD$2*$AE$2*$AF$2+'Demand Base Matrix'!I$83*$W$2*$AC$2*$AD$2*$AE$2*$AF$2+'Demand Base Matrix'!I$84)))))</f>
        <v>8</v>
      </c>
      <c r="AM89">
        <f>IF($C89="Validate",(('Demand Base Matrix'!J$2+'Demand Base Matrix'!J$6)*$AC$2*$AD$2*$AE$2+('Demand Base Matrix'!J$3+'Demand Base Matrix'!J$4)*$W$2*$AD$2+'Demand Base Matrix'!J$5*$W$2*$AD$2*$AE$2+'Demand Base Matrix'!J$7+'Demand Base Matrix'!J$8*$AF$2),IF($C89="Integrate",(('Demand Base Matrix'!J$28+'Demand Base Matrix'!J$32)*$AC$2*$AD$2*$AE$2+('Demand Base Matrix'!J$29+'Demand Base Matrix'!J$30)*$W$2*$AD$2+'Demand Base Matrix'!J$31*$W$2*$AD$2*$AE$2+'Demand Base Matrix'!J$33+'Demand Base Matrix'!J$34*$AF$2),IF($C89="Bond",(('Demand Base Matrix'!J$55+'Demand Base Matrix'!J$59)*$AC$2*$AD$2*$AE$2+('Demand Base Matrix'!J$56+'Demand Base Matrix'!J$57)*$W$2*$AD$2+'Demand Base Matrix'!J$58*$W$2*$AD$2*$AE$2+'Demand Base Matrix'!J$60+'Demand Base Matrix'!J$61*$AF$2),IF($C89="Explore",('Demand Base Matrix'!J$82*$AC$2*$AD$2*$AE$2*$AF$2+'Demand Base Matrix'!J$83*$W$2*$AC$2*$AD$2*$AE$2*$AF$2+'Demand Base Matrix'!J$84)))))</f>
        <v>8</v>
      </c>
    </row>
    <row r="90" spans="1:39" x14ac:dyDescent="0.2">
      <c r="A90" s="75" t="s">
        <v>805</v>
      </c>
      <c r="B90" t="s">
        <v>111</v>
      </c>
      <c r="C90" t="s">
        <v>32</v>
      </c>
      <c r="D90" t="s">
        <v>207</v>
      </c>
      <c r="E90" t="s">
        <v>699</v>
      </c>
      <c r="F90" t="s">
        <v>185</v>
      </c>
      <c r="I90" t="str">
        <f>IFERROR(INDEX('Customer 360'!F:F,MATCH(B90,'Customer 360'!A:A,0)),"-")</f>
        <v>A</v>
      </c>
      <c r="J90">
        <v>40000</v>
      </c>
      <c r="K90">
        <v>1</v>
      </c>
      <c r="L90" s="4">
        <v>46292</v>
      </c>
      <c r="M90" s="4">
        <v>46292</v>
      </c>
      <c r="N90">
        <v>2026</v>
      </c>
      <c r="O90" s="4">
        <v>46023</v>
      </c>
      <c r="P90" t="s">
        <v>217</v>
      </c>
      <c r="Q90" s="18">
        <f t="shared" ref="Q90:Q109" si="26">O90</f>
        <v>46023</v>
      </c>
      <c r="R90" s="18">
        <f>IFERROR(IF(M90&lt;&gt;"",M90,IF(L90&lt;&gt;"",L90,INDEX('CSM RDD'!B:B,MATCH(B90,'CSM RDD'!A:A,0)))),"-")</f>
        <v>46292</v>
      </c>
      <c r="S90" s="18">
        <f t="shared" ref="S90:S109" si="27">IFERROR(EOMONTH(Q90,-1)+1,"")</f>
        <v>46023</v>
      </c>
      <c r="T90" s="18">
        <f t="shared" ref="T90:T109" si="28">IFERROR(EOMONTH(R90,-1)+1,"")</f>
        <v>46266</v>
      </c>
      <c r="U90" s="6">
        <f t="shared" ref="U90:U109" si="29">J90+K90</f>
        <v>40001</v>
      </c>
      <c r="V90" s="18">
        <f t="shared" si="20"/>
        <v>46082</v>
      </c>
      <c r="W90">
        <f>IF(U90=0,1,IF(U90&lt;='Demand Base Matrix'!$K$3,'Demand Base Matrix'!$L$3,IF(U90&lt;='Demand Base Matrix'!$K$4,'Demand Base Matrix'!$L$4,IF(U90&lt;='Demand Base Matrix'!$K$5,'Demand Base Matrix'!$L$5,IF(U90&lt;='Demand Base Matrix'!$K$6,'Demand Base Matrix'!$L$6,IF(U90&lt;='Demand Base Matrix'!$K$7,'Demand Base Matrix'!$L$7))))))</f>
        <v>2</v>
      </c>
      <c r="X90" s="4">
        <f t="shared" ref="X90:X109" si="30">DATE(YEAR(R90),MONTH(R90),1)</f>
        <v>46266</v>
      </c>
      <c r="Y90" t="str">
        <f t="shared" ref="Y90:Y109" si="31">IF(K90&gt;0,"Tx","Dx")</f>
        <v>Tx</v>
      </c>
      <c r="Z90" t="s">
        <v>685</v>
      </c>
      <c r="AA90" t="s">
        <v>684</v>
      </c>
      <c r="AB90" t="s">
        <v>684</v>
      </c>
      <c r="AC90">
        <f>IFERROR(INDEX('Demand Base Matrix'!AM:AM,MATCH(Y90,'Demand Base Matrix'!AL:AL,0)),"-")</f>
        <v>1.5</v>
      </c>
      <c r="AD90">
        <f>IFERROR(INDEX('Demand Base Matrix'!AO:AO,MATCH(Z90,'Demand Base Matrix'!AN:AN,0)),1)</f>
        <v>1</v>
      </c>
      <c r="AE90">
        <f>IFERROR(INDEX('Demand Base Matrix'!AQ:AQ,MATCH(AA90,'Demand Base Matrix'!AP:AP,0)),1)</f>
        <v>1.5</v>
      </c>
      <c r="AF90">
        <f>IFERROR(INDEX('Demand Base Matrix'!AS:AS,MATCH(AB90,'Demand Base Matrix'!AR:AR,0)),1)</f>
        <v>1.5</v>
      </c>
      <c r="AG90">
        <f>IF($C90="Validate",(('Demand Base Matrix'!D$2+'Demand Base Matrix'!D$6)*$AC$2*$AD$2*$AE$2+('Demand Base Matrix'!D$3+'Demand Base Matrix'!D$4)*$W$2*$AD$2+'Demand Base Matrix'!D$5*$W$2*$AD$2*$AE$2+'Demand Base Matrix'!D$7+'Demand Base Matrix'!D$8*$AF$2),IF($C90="Integrate",(('Demand Base Matrix'!D$28+'Demand Base Matrix'!D$32)*$AC$2*$AD$2*$AE$2+('Demand Base Matrix'!D$29+'Demand Base Matrix'!D$30)*$W$2*$AD$2+'Demand Base Matrix'!D$31*$W$2*$AD$2*$AE$2+'Demand Base Matrix'!D$33+'Demand Base Matrix'!D$34*$AF$2),IF($C90="Bond",(('Demand Base Matrix'!D$55+'Demand Base Matrix'!D$59)*$AC$2*$AD$2*$AE$2+('Demand Base Matrix'!D$56+'Demand Base Matrix'!D$57)*$W$2*$AD$2+'Demand Base Matrix'!D$58*$W$2*$AD$2*$AE$2+'Demand Base Matrix'!D$60+'Demand Base Matrix'!D$61*$AF$2),IF($C90="Explore",('Demand Base Matrix'!D$82*$AC$2*$AD$2*$AE$2*$AF$2+'Demand Base Matrix'!D$83*$W$2*$AC$2*$AD$2*$AE$2*$AF$2+'Demand Base Matrix'!D$84)))))</f>
        <v>10</v>
      </c>
      <c r="AH90">
        <f>IF($C90="Validate",(('Demand Base Matrix'!E$2+'Demand Base Matrix'!E$6)*$AC$2*$AD$2*$AE$2+('Demand Base Matrix'!E$3+'Demand Base Matrix'!E$4)*$W$2*$AD$2+'Demand Base Matrix'!E$5*$W$2*$AD$2*$AE$2+'Demand Base Matrix'!E$7+'Demand Base Matrix'!E$8*$AF$2),IF($C90="Integrate",(('Demand Base Matrix'!E$28+'Demand Base Matrix'!E$32)*$AC$2*$AD$2*$AE$2+('Demand Base Matrix'!E$29+'Demand Base Matrix'!E$30)*$W$2*$AD$2+'Demand Base Matrix'!E$31*$W$2*$AD$2*$AE$2+'Demand Base Matrix'!E$33+'Demand Base Matrix'!E$34*$AF$2),IF($C90="Bond",(('Demand Base Matrix'!E$55+'Demand Base Matrix'!E$59)*$AC$2*$AD$2*$AE$2+('Demand Base Matrix'!E$56+'Demand Base Matrix'!E$57)*$W$2*$AD$2+'Demand Base Matrix'!E$58*$W$2*$AD$2*$AE$2+'Demand Base Matrix'!E$60+'Demand Base Matrix'!E$61*$AF$2),IF($C90="Explore",('Demand Base Matrix'!E$82*$AC$2*$AD$2*$AE$2*$AF$2+'Demand Base Matrix'!E$83*$W$2*$AC$2*$AD$2*$AE$2*$AF$2+'Demand Base Matrix'!E$84)))))</f>
        <v>20</v>
      </c>
      <c r="AI90">
        <f>IF($C90="Validate",(('Demand Base Matrix'!F$2+'Demand Base Matrix'!F$6)*$AC$2*$AD$2*$AE$2+('Demand Base Matrix'!F$3+'Demand Base Matrix'!F$4)*$W$2*$AD$2+'Demand Base Matrix'!F$5*$W$2*$AD$2*$AE$2+'Demand Base Matrix'!F$7+'Demand Base Matrix'!F$8*$AF$2),IF($C90="Integrate",(('Demand Base Matrix'!F$28+'Demand Base Matrix'!F$32)*$AC$2*$AD$2*$AE$2+('Demand Base Matrix'!F$29+'Demand Base Matrix'!F$30)*$W$2*$AD$2+'Demand Base Matrix'!F$31*$W$2*$AD$2*$AE$2+'Demand Base Matrix'!F$33+'Demand Base Matrix'!F$34*$AF$2),IF($C90="Bond",(('Demand Base Matrix'!F$55+'Demand Base Matrix'!F$59)*$AC$2*$AD$2*$AE$2+('Demand Base Matrix'!F$56+'Demand Base Matrix'!F$57)*$W$2*$AD$2+'Demand Base Matrix'!F$58*$W$2*$AD$2*$AE$2+'Demand Base Matrix'!F$60+'Demand Base Matrix'!F$61*$AF$2),IF($C90="Explore",('Demand Base Matrix'!F$82*$AC$2*$AD$2*$AE$2*$AF$2+'Demand Base Matrix'!F$83*$W$2*$AC$2*$AD$2*$AE$2*$AF$2+'Demand Base Matrix'!F$84)))))</f>
        <v>10</v>
      </c>
      <c r="AJ90">
        <f>IF($C90="Validate",(('Demand Base Matrix'!G$2+'Demand Base Matrix'!G$6)*$AC$2*$AD$2*$AE$2+('Demand Base Matrix'!G$3+'Demand Base Matrix'!G$4)*$W$2*$AD$2+'Demand Base Matrix'!G$5*$W$2*$AD$2*$AE$2+'Demand Base Matrix'!G$7+'Demand Base Matrix'!G$8*$AF$2),IF($C90="Integrate",(('Demand Base Matrix'!G$28+'Demand Base Matrix'!G$32)*$AC$2*$AD$2*$AE$2+('Demand Base Matrix'!G$29+'Demand Base Matrix'!G$30)*$W$2*$AD$2+'Demand Base Matrix'!G$31*$W$2*$AD$2*$AE$2+'Demand Base Matrix'!G$33+'Demand Base Matrix'!G$34*$AF$2),IF($C90="Bond",(('Demand Base Matrix'!G$55+'Demand Base Matrix'!G$59)*$AC$2*$AD$2*$AE$2+('Demand Base Matrix'!G$56+'Demand Base Matrix'!G$57)*$W$2*$AD$2+'Demand Base Matrix'!G$58*$W$2*$AD$2*$AE$2+'Demand Base Matrix'!G$60+'Demand Base Matrix'!G$61*$AF$2),IF($C90="Explore",('Demand Base Matrix'!G$82*$AC$2*$AD$2*$AE$2*$AF$2+'Demand Base Matrix'!G$83*$W$2*$AC$2*$AD$2*$AE$2*$AF$2+'Demand Base Matrix'!G$84)))))</f>
        <v>60</v>
      </c>
      <c r="AK90">
        <f>IF($C90="Validate",(('Demand Base Matrix'!H$2+'Demand Base Matrix'!H$6)*$AC$2*$AD$2*$AE$2+('Demand Base Matrix'!H$3+'Demand Base Matrix'!H$4)*$W$2*$AD$2+'Demand Base Matrix'!H$5*$W$2*$AD$2*$AE$2+'Demand Base Matrix'!H$7+'Demand Base Matrix'!H$8*$AF$2),IF($C90="Integrate",(('Demand Base Matrix'!H$28+'Demand Base Matrix'!H$32)*$AC$2*$AD$2*$AE$2+('Demand Base Matrix'!H$29+'Demand Base Matrix'!H$30)*$W$2*$AD$2+'Demand Base Matrix'!H$31*$W$2*$AD$2*$AE$2+'Demand Base Matrix'!H$33+'Demand Base Matrix'!H$34*$AF$2),IF($C90="Bond",(('Demand Base Matrix'!H$55+'Demand Base Matrix'!H$59)*$AC$2*$AD$2*$AE$2+('Demand Base Matrix'!H$56+'Demand Base Matrix'!H$57)*$W$2*$AD$2+'Demand Base Matrix'!H$58*$W$2*$AD$2*$AE$2+'Demand Base Matrix'!H$60+'Demand Base Matrix'!H$61*$AF$2),IF($C90="Explore",('Demand Base Matrix'!H$82*$AC$2*$AD$2*$AE$2*$AF$2+'Demand Base Matrix'!H$83*$W$2*$AC$2*$AD$2*$AE$2*$AF$2+'Demand Base Matrix'!H$84)))))</f>
        <v>28</v>
      </c>
      <c r="AL90">
        <f>IF($C90="Validate",(('Demand Base Matrix'!I$2+'Demand Base Matrix'!I$6)*$AC$2*$AD$2*$AE$2+('Demand Base Matrix'!I$3+'Demand Base Matrix'!I$4)*$W$2*$AD$2+'Demand Base Matrix'!I$5*$W$2*$AD$2*$AE$2+'Demand Base Matrix'!I$7+'Demand Base Matrix'!I$8*$AF$2),IF($C90="Integrate",(('Demand Base Matrix'!I$28+'Demand Base Matrix'!I$32)*$AC$2*$AD$2*$AE$2+('Demand Base Matrix'!I$29+'Demand Base Matrix'!I$30)*$W$2*$AD$2+'Demand Base Matrix'!I$31*$W$2*$AD$2*$AE$2+'Demand Base Matrix'!I$33+'Demand Base Matrix'!I$34*$AF$2),IF($C90="Bond",(('Demand Base Matrix'!I$55+'Demand Base Matrix'!I$59)*$AC$2*$AD$2*$AE$2+('Demand Base Matrix'!I$56+'Demand Base Matrix'!I$57)*$W$2*$AD$2+'Demand Base Matrix'!I$58*$W$2*$AD$2*$AE$2+'Demand Base Matrix'!I$60+'Demand Base Matrix'!I$61*$AF$2),IF($C90="Explore",('Demand Base Matrix'!I$82*$AC$2*$AD$2*$AE$2*$AF$2+'Demand Base Matrix'!I$83*$W$2*$AC$2*$AD$2*$AE$2*$AF$2+'Demand Base Matrix'!I$84)))))</f>
        <v>8</v>
      </c>
      <c r="AM90">
        <f>IF($C90="Validate",(('Demand Base Matrix'!J$2+'Demand Base Matrix'!J$6)*$AC$2*$AD$2*$AE$2+('Demand Base Matrix'!J$3+'Demand Base Matrix'!J$4)*$W$2*$AD$2+'Demand Base Matrix'!J$5*$W$2*$AD$2*$AE$2+'Demand Base Matrix'!J$7+'Demand Base Matrix'!J$8*$AF$2),IF($C90="Integrate",(('Demand Base Matrix'!J$28+'Demand Base Matrix'!J$32)*$AC$2*$AD$2*$AE$2+('Demand Base Matrix'!J$29+'Demand Base Matrix'!J$30)*$W$2*$AD$2+'Demand Base Matrix'!J$31*$W$2*$AD$2*$AE$2+'Demand Base Matrix'!J$33+'Demand Base Matrix'!J$34*$AF$2),IF($C90="Bond",(('Demand Base Matrix'!J$55+'Demand Base Matrix'!J$59)*$AC$2*$AD$2*$AE$2+('Demand Base Matrix'!J$56+'Demand Base Matrix'!J$57)*$W$2*$AD$2+'Demand Base Matrix'!J$58*$W$2*$AD$2*$AE$2+'Demand Base Matrix'!J$60+'Demand Base Matrix'!J$61*$AF$2),IF($C90="Explore",('Demand Base Matrix'!J$82*$AC$2*$AD$2*$AE$2*$AF$2+'Demand Base Matrix'!J$83*$W$2*$AC$2*$AD$2*$AE$2*$AF$2+'Demand Base Matrix'!J$84)))))</f>
        <v>8</v>
      </c>
    </row>
    <row r="91" spans="1:39" x14ac:dyDescent="0.2">
      <c r="A91" t="s">
        <v>808</v>
      </c>
      <c r="B91" t="s">
        <v>675</v>
      </c>
      <c r="C91" t="s">
        <v>20</v>
      </c>
      <c r="D91" t="s">
        <v>178</v>
      </c>
      <c r="E91" t="s">
        <v>117</v>
      </c>
      <c r="F91" t="s">
        <v>184</v>
      </c>
      <c r="I91" t="str">
        <f>IFERROR(INDEX('Customer 360'!F:F,MATCH(B91,'Customer 360'!A:A,0)),"-")</f>
        <v>NA</v>
      </c>
      <c r="J91" s="5">
        <v>1913</v>
      </c>
      <c r="K91" s="5">
        <v>0</v>
      </c>
      <c r="L91" s="4" t="s">
        <v>801</v>
      </c>
      <c r="M91" s="4">
        <v>46304</v>
      </c>
      <c r="N91">
        <v>2026</v>
      </c>
      <c r="O91" s="4">
        <v>46023</v>
      </c>
      <c r="P91" t="s">
        <v>217</v>
      </c>
      <c r="Q91" s="18">
        <f t="shared" si="26"/>
        <v>46023</v>
      </c>
      <c r="R91" s="18">
        <f>IFERROR(IF(M91&lt;&gt;"",M91,IF(L91&lt;&gt;"",L91,INDEX('CSM RDD'!B:B,MATCH(B91,'CSM RDD'!A:A,0)))),"-")</f>
        <v>46304</v>
      </c>
      <c r="S91" s="18">
        <f t="shared" si="27"/>
        <v>46023</v>
      </c>
      <c r="T91" s="18">
        <f t="shared" si="28"/>
        <v>46296</v>
      </c>
      <c r="U91" s="6">
        <f t="shared" si="29"/>
        <v>1913</v>
      </c>
      <c r="V91" s="18">
        <f t="shared" si="20"/>
        <v>46023</v>
      </c>
      <c r="W91">
        <f>IF(U91=0,1,IF(U91&lt;='Demand Base Matrix'!$K$3,'Demand Base Matrix'!$L$3,IF(U91&lt;='Demand Base Matrix'!$K$4,'Demand Base Matrix'!$L$4,IF(U91&lt;='Demand Base Matrix'!$K$5,'Demand Base Matrix'!$L$5,IF(U91&lt;='Demand Base Matrix'!$K$6,'Demand Base Matrix'!$L$6,IF(U91&lt;='Demand Base Matrix'!$K$7,'Demand Base Matrix'!$L$7))))))</f>
        <v>1</v>
      </c>
      <c r="X91" s="4">
        <f t="shared" si="30"/>
        <v>46296</v>
      </c>
      <c r="Y91" t="str">
        <f t="shared" si="31"/>
        <v>Dx</v>
      </c>
      <c r="Z91" t="s">
        <v>685</v>
      </c>
      <c r="AA91" t="s">
        <v>685</v>
      </c>
      <c r="AB91" t="s">
        <v>685</v>
      </c>
      <c r="AC91">
        <f>IFERROR(INDEX('Demand Base Matrix'!AM:AM,MATCH(Y91,'Demand Base Matrix'!AL:AL,0)),"-")</f>
        <v>1</v>
      </c>
      <c r="AD91">
        <f>IFERROR(INDEX('Demand Base Matrix'!AO:AO,MATCH(Z91,'Demand Base Matrix'!AN:AN,0)),1)</f>
        <v>1</v>
      </c>
      <c r="AE91">
        <f>IFERROR(INDEX('Demand Base Matrix'!AQ:AQ,MATCH(AA91,'Demand Base Matrix'!AP:AP,0)),1)</f>
        <v>1</v>
      </c>
      <c r="AF91">
        <f>IFERROR(INDEX('Demand Base Matrix'!AS:AS,MATCH(AB91,'Demand Base Matrix'!AR:AR,0)),1)</f>
        <v>1</v>
      </c>
      <c r="AG91">
        <f>IF($C91="Validate",(('Demand Base Matrix'!D$2+'Demand Base Matrix'!D$6)*$AC$2*$AD$2*$AE$2+('Demand Base Matrix'!D$3+'Demand Base Matrix'!D$4)*$W$2*$AD$2+'Demand Base Matrix'!D$5*$W$2*$AD$2*$AE$2+'Demand Base Matrix'!D$7+'Demand Base Matrix'!D$8*$AF$2),IF($C91="Integrate",(('Demand Base Matrix'!D$28+'Demand Base Matrix'!D$32)*$AC$2*$AD$2*$AE$2+('Demand Base Matrix'!D$29+'Demand Base Matrix'!D$30)*$W$2*$AD$2+'Demand Base Matrix'!D$31*$W$2*$AD$2*$AE$2+'Demand Base Matrix'!D$33+'Demand Base Matrix'!D$34*$AF$2),IF($C91="Bond",(('Demand Base Matrix'!D$55+'Demand Base Matrix'!D$59)*$AC$2*$AD$2*$AE$2+('Demand Base Matrix'!D$56+'Demand Base Matrix'!D$57)*$W$2*$AD$2+'Demand Base Matrix'!D$58*$W$2*$AD$2*$AE$2+'Demand Base Matrix'!D$60+'Demand Base Matrix'!D$61*$AF$2),IF($C91="Explore",('Demand Base Matrix'!D$82*$AC$2*$AD$2*$AE$2*$AF$2+'Demand Base Matrix'!D$83*$W$2*$AC$2*$AD$2*$AE$2*$AF$2+'Demand Base Matrix'!D$84)))))</f>
        <v>15</v>
      </c>
      <c r="AH91">
        <f>IF($C91="Validate",(('Demand Base Matrix'!E$2+'Demand Base Matrix'!E$6)*$AC$2*$AD$2*$AE$2+('Demand Base Matrix'!E$3+'Demand Base Matrix'!E$4)*$W$2*$AD$2+'Demand Base Matrix'!E$5*$W$2*$AD$2*$AE$2+'Demand Base Matrix'!E$7+'Demand Base Matrix'!E$8*$AF$2),IF($C91="Integrate",(('Demand Base Matrix'!E$28+'Demand Base Matrix'!E$32)*$AC$2*$AD$2*$AE$2+('Demand Base Matrix'!E$29+'Demand Base Matrix'!E$30)*$W$2*$AD$2+'Demand Base Matrix'!E$31*$W$2*$AD$2*$AE$2+'Demand Base Matrix'!E$33+'Demand Base Matrix'!E$34*$AF$2),IF($C91="Bond",(('Demand Base Matrix'!E$55+'Demand Base Matrix'!E$59)*$AC$2*$AD$2*$AE$2+('Demand Base Matrix'!E$56+'Demand Base Matrix'!E$57)*$W$2*$AD$2+'Demand Base Matrix'!E$58*$W$2*$AD$2*$AE$2+'Demand Base Matrix'!E$60+'Demand Base Matrix'!E$61*$AF$2),IF($C91="Explore",('Demand Base Matrix'!E$82*$AC$2*$AD$2*$AE$2*$AF$2+'Demand Base Matrix'!E$83*$W$2*$AC$2*$AD$2*$AE$2*$AF$2+'Demand Base Matrix'!E$84)))))</f>
        <v>15</v>
      </c>
      <c r="AI91">
        <f>IF($C91="Validate",(('Demand Base Matrix'!F$2+'Demand Base Matrix'!F$6)*$AC$2*$AD$2*$AE$2+('Demand Base Matrix'!F$3+'Demand Base Matrix'!F$4)*$W$2*$AD$2+'Demand Base Matrix'!F$5*$W$2*$AD$2*$AE$2+'Demand Base Matrix'!F$7+'Demand Base Matrix'!F$8*$AF$2),IF($C91="Integrate",(('Demand Base Matrix'!F$28+'Demand Base Matrix'!F$32)*$AC$2*$AD$2*$AE$2+('Demand Base Matrix'!F$29+'Demand Base Matrix'!F$30)*$W$2*$AD$2+'Demand Base Matrix'!F$31*$W$2*$AD$2*$AE$2+'Demand Base Matrix'!F$33+'Demand Base Matrix'!F$34*$AF$2),IF($C91="Bond",(('Demand Base Matrix'!F$55+'Demand Base Matrix'!F$59)*$AC$2*$AD$2*$AE$2+('Demand Base Matrix'!F$56+'Demand Base Matrix'!F$57)*$W$2*$AD$2+'Demand Base Matrix'!F$58*$W$2*$AD$2*$AE$2+'Demand Base Matrix'!F$60+'Demand Base Matrix'!F$61*$AF$2),IF($C91="Explore",('Demand Base Matrix'!F$82*$AC$2*$AD$2*$AE$2*$AF$2+'Demand Base Matrix'!F$83*$W$2*$AC$2*$AD$2*$AE$2*$AF$2+'Demand Base Matrix'!F$84)))))</f>
        <v>7</v>
      </c>
      <c r="AJ91">
        <f>IF($C91="Validate",(('Demand Base Matrix'!G$2+'Demand Base Matrix'!G$6)*$AC$2*$AD$2*$AE$2+('Demand Base Matrix'!G$3+'Demand Base Matrix'!G$4)*$W$2*$AD$2+'Demand Base Matrix'!G$5*$W$2*$AD$2*$AE$2+'Demand Base Matrix'!G$7+'Demand Base Matrix'!G$8*$AF$2),IF($C91="Integrate",(('Demand Base Matrix'!G$28+'Demand Base Matrix'!G$32)*$AC$2*$AD$2*$AE$2+('Demand Base Matrix'!G$29+'Demand Base Matrix'!G$30)*$W$2*$AD$2+'Demand Base Matrix'!G$31*$W$2*$AD$2*$AE$2+'Demand Base Matrix'!G$33+'Demand Base Matrix'!G$34*$AF$2),IF($C91="Bond",(('Demand Base Matrix'!G$55+'Demand Base Matrix'!G$59)*$AC$2*$AD$2*$AE$2+('Demand Base Matrix'!G$56+'Demand Base Matrix'!G$57)*$W$2*$AD$2+'Demand Base Matrix'!G$58*$W$2*$AD$2*$AE$2+'Demand Base Matrix'!G$60+'Demand Base Matrix'!G$61*$AF$2),IF($C91="Explore",('Demand Base Matrix'!G$82*$AC$2*$AD$2*$AE$2*$AF$2+'Demand Base Matrix'!G$83*$W$2*$AC$2*$AD$2*$AE$2*$AF$2+'Demand Base Matrix'!G$84)))))</f>
        <v>40</v>
      </c>
      <c r="AK91">
        <f>IF($C91="Validate",(('Demand Base Matrix'!H$2+'Demand Base Matrix'!H$6)*$AC$2*$AD$2*$AE$2+('Demand Base Matrix'!H$3+'Demand Base Matrix'!H$4)*$W$2*$AD$2+'Demand Base Matrix'!H$5*$W$2*$AD$2*$AE$2+'Demand Base Matrix'!H$7+'Demand Base Matrix'!H$8*$AF$2),IF($C91="Integrate",(('Demand Base Matrix'!H$28+'Demand Base Matrix'!H$32)*$AC$2*$AD$2*$AE$2+('Demand Base Matrix'!H$29+'Demand Base Matrix'!H$30)*$W$2*$AD$2+'Demand Base Matrix'!H$31*$W$2*$AD$2*$AE$2+'Demand Base Matrix'!H$33+'Demand Base Matrix'!H$34*$AF$2),IF($C91="Bond",(('Demand Base Matrix'!H$55+'Demand Base Matrix'!H$59)*$AC$2*$AD$2*$AE$2+('Demand Base Matrix'!H$56+'Demand Base Matrix'!H$57)*$W$2*$AD$2+'Demand Base Matrix'!H$58*$W$2*$AD$2*$AE$2+'Demand Base Matrix'!H$60+'Demand Base Matrix'!H$61*$AF$2),IF($C91="Explore",('Demand Base Matrix'!H$82*$AC$2*$AD$2*$AE$2*$AF$2+'Demand Base Matrix'!H$83*$W$2*$AC$2*$AD$2*$AE$2*$AF$2+'Demand Base Matrix'!H$84)))))</f>
        <v>60</v>
      </c>
      <c r="AL91">
        <f>IF($C91="Validate",(('Demand Base Matrix'!I$2+'Demand Base Matrix'!I$6)*$AC$2*$AD$2*$AE$2+('Demand Base Matrix'!I$3+'Demand Base Matrix'!I$4)*$W$2*$AD$2+'Demand Base Matrix'!I$5*$W$2*$AD$2*$AE$2+'Demand Base Matrix'!I$7+'Demand Base Matrix'!I$8*$AF$2),IF($C91="Integrate",(('Demand Base Matrix'!I$28+'Demand Base Matrix'!I$32)*$AC$2*$AD$2*$AE$2+('Demand Base Matrix'!I$29+'Demand Base Matrix'!I$30)*$W$2*$AD$2+'Demand Base Matrix'!I$31*$W$2*$AD$2*$AE$2+'Demand Base Matrix'!I$33+'Demand Base Matrix'!I$34*$AF$2),IF($C91="Bond",(('Demand Base Matrix'!I$55+'Demand Base Matrix'!I$59)*$AC$2*$AD$2*$AE$2+('Demand Base Matrix'!I$56+'Demand Base Matrix'!I$57)*$W$2*$AD$2+'Demand Base Matrix'!I$58*$W$2*$AD$2*$AE$2+'Demand Base Matrix'!I$60+'Demand Base Matrix'!I$61*$AF$2),IF($C91="Explore",('Demand Base Matrix'!I$82*$AC$2*$AD$2*$AE$2*$AF$2+'Demand Base Matrix'!I$83*$W$2*$AC$2*$AD$2*$AE$2*$AF$2+'Demand Base Matrix'!I$84)))))</f>
        <v>10</v>
      </c>
      <c r="AM91">
        <f>IF($C91="Validate",(('Demand Base Matrix'!J$2+'Demand Base Matrix'!J$6)*$AC$2*$AD$2*$AE$2+('Demand Base Matrix'!J$3+'Demand Base Matrix'!J$4)*$W$2*$AD$2+'Demand Base Matrix'!J$5*$W$2*$AD$2*$AE$2+'Demand Base Matrix'!J$7+'Demand Base Matrix'!J$8*$AF$2),IF($C91="Integrate",(('Demand Base Matrix'!J$28+'Demand Base Matrix'!J$32)*$AC$2*$AD$2*$AE$2+('Demand Base Matrix'!J$29+'Demand Base Matrix'!J$30)*$W$2*$AD$2+'Demand Base Matrix'!J$31*$W$2*$AD$2*$AE$2+'Demand Base Matrix'!J$33+'Demand Base Matrix'!J$34*$AF$2),IF($C91="Bond",(('Demand Base Matrix'!J$55+'Demand Base Matrix'!J$59)*$AC$2*$AD$2*$AE$2+('Demand Base Matrix'!J$56+'Demand Base Matrix'!J$57)*$W$2*$AD$2+'Demand Base Matrix'!J$58*$W$2*$AD$2*$AE$2+'Demand Base Matrix'!J$60+'Demand Base Matrix'!J$61*$AF$2),IF($C91="Explore",('Demand Base Matrix'!J$82*$AC$2*$AD$2*$AE$2*$AF$2+'Demand Base Matrix'!J$83*$W$2*$AC$2*$AD$2*$AE$2*$AF$2+'Demand Base Matrix'!J$84)))))</f>
        <v>4</v>
      </c>
    </row>
    <row r="92" spans="1:39" x14ac:dyDescent="0.2">
      <c r="A92" t="s">
        <v>806</v>
      </c>
      <c r="B92" t="s">
        <v>824</v>
      </c>
      <c r="C92" t="s">
        <v>20</v>
      </c>
      <c r="D92" t="s">
        <v>69</v>
      </c>
      <c r="E92" t="s">
        <v>207</v>
      </c>
      <c r="F92" t="s">
        <v>109</v>
      </c>
      <c r="I92" t="str">
        <f>IFERROR(INDEX('Customer 360'!F:F,MATCH(B92,'Customer 360'!A:A,0)),"-")</f>
        <v>-</v>
      </c>
      <c r="J92" s="5">
        <v>660</v>
      </c>
      <c r="K92" s="5">
        <v>284</v>
      </c>
      <c r="L92" s="4" t="s">
        <v>801</v>
      </c>
      <c r="M92" s="4" t="s">
        <v>801</v>
      </c>
      <c r="N92">
        <v>2026</v>
      </c>
      <c r="O92" s="4">
        <v>46023</v>
      </c>
      <c r="P92" t="s">
        <v>217</v>
      </c>
      <c r="Q92" s="18">
        <f t="shared" si="26"/>
        <v>46023</v>
      </c>
      <c r="R92" s="18" t="str">
        <f>IFERROR(IF(M92&lt;&gt;"",M92,IF(L92&lt;&gt;"",L92,INDEX('CSM RDD'!B:B,MATCH(B92,'CSM RDD'!A:A,0)))),"-")</f>
        <v>-</v>
      </c>
      <c r="S92" s="18">
        <f t="shared" si="27"/>
        <v>46023</v>
      </c>
      <c r="T92" s="18" t="str">
        <f t="shared" si="28"/>
        <v/>
      </c>
      <c r="U92" s="6">
        <f t="shared" si="29"/>
        <v>944</v>
      </c>
      <c r="V92" s="18">
        <f t="shared" si="20"/>
        <v>46023</v>
      </c>
      <c r="W92">
        <f>IF(U92=0,1,IF(U92&lt;='Demand Base Matrix'!$K$3,'Demand Base Matrix'!$L$3,IF(U92&lt;='Demand Base Matrix'!$K$4,'Demand Base Matrix'!$L$4,IF(U92&lt;='Demand Base Matrix'!$K$5,'Demand Base Matrix'!$L$5,IF(U92&lt;='Demand Base Matrix'!$K$6,'Demand Base Matrix'!$L$6,IF(U92&lt;='Demand Base Matrix'!$K$7,'Demand Base Matrix'!$L$7))))))</f>
        <v>0.75</v>
      </c>
      <c r="X92" s="4" t="e">
        <f t="shared" si="30"/>
        <v>#VALUE!</v>
      </c>
      <c r="Y92" t="str">
        <f t="shared" si="31"/>
        <v>Tx</v>
      </c>
      <c r="Z92" t="s">
        <v>685</v>
      </c>
      <c r="AA92" t="s">
        <v>685</v>
      </c>
      <c r="AB92" t="s">
        <v>685</v>
      </c>
      <c r="AC92">
        <f>IFERROR(INDEX('Demand Base Matrix'!AM:AM,MATCH(Y92,'Demand Base Matrix'!AL:AL,0)),"-")</f>
        <v>1.5</v>
      </c>
      <c r="AD92">
        <f>IFERROR(INDEX('Demand Base Matrix'!AO:AO,MATCH(Z92,'Demand Base Matrix'!AN:AN,0)),1)</f>
        <v>1</v>
      </c>
      <c r="AE92">
        <f>IFERROR(INDEX('Demand Base Matrix'!AQ:AQ,MATCH(AA92,'Demand Base Matrix'!AP:AP,0)),1)</f>
        <v>1</v>
      </c>
      <c r="AF92">
        <f>IFERROR(INDEX('Demand Base Matrix'!AS:AS,MATCH(AB92,'Demand Base Matrix'!AR:AR,0)),1)</f>
        <v>1</v>
      </c>
      <c r="AG92">
        <f>IF($C92="Validate",(('Demand Base Matrix'!D$2+'Demand Base Matrix'!D$6)*$AC$2*$AD$2*$AE$2+('Demand Base Matrix'!D$3+'Demand Base Matrix'!D$4)*$W$2*$AD$2+'Demand Base Matrix'!D$5*$W$2*$AD$2*$AE$2+'Demand Base Matrix'!D$7+'Demand Base Matrix'!D$8*$AF$2),IF($C92="Integrate",(('Demand Base Matrix'!D$28+'Demand Base Matrix'!D$32)*$AC$2*$AD$2*$AE$2+('Demand Base Matrix'!D$29+'Demand Base Matrix'!D$30)*$W$2*$AD$2+'Demand Base Matrix'!D$31*$W$2*$AD$2*$AE$2+'Demand Base Matrix'!D$33+'Demand Base Matrix'!D$34*$AF$2),IF($C92="Bond",(('Demand Base Matrix'!D$55+'Demand Base Matrix'!D$59)*$AC$2*$AD$2*$AE$2+('Demand Base Matrix'!D$56+'Demand Base Matrix'!D$57)*$W$2*$AD$2+'Demand Base Matrix'!D$58*$W$2*$AD$2*$AE$2+'Demand Base Matrix'!D$60+'Demand Base Matrix'!D$61*$AF$2),IF($C92="Explore",('Demand Base Matrix'!D$82*$AC$2*$AD$2*$AE$2*$AF$2+'Demand Base Matrix'!D$83*$W$2*$AC$2*$AD$2*$AE$2*$AF$2+'Demand Base Matrix'!D$84)))))</f>
        <v>15</v>
      </c>
      <c r="AH92">
        <f>IF($C92="Validate",(('Demand Base Matrix'!E$2+'Demand Base Matrix'!E$6)*$AC$2*$AD$2*$AE$2+('Demand Base Matrix'!E$3+'Demand Base Matrix'!E$4)*$W$2*$AD$2+'Demand Base Matrix'!E$5*$W$2*$AD$2*$AE$2+'Demand Base Matrix'!E$7+'Demand Base Matrix'!E$8*$AF$2),IF($C92="Integrate",(('Demand Base Matrix'!E$28+'Demand Base Matrix'!E$32)*$AC$2*$AD$2*$AE$2+('Demand Base Matrix'!E$29+'Demand Base Matrix'!E$30)*$W$2*$AD$2+'Demand Base Matrix'!E$31*$W$2*$AD$2*$AE$2+'Demand Base Matrix'!E$33+'Demand Base Matrix'!E$34*$AF$2),IF($C92="Bond",(('Demand Base Matrix'!E$55+'Demand Base Matrix'!E$59)*$AC$2*$AD$2*$AE$2+('Demand Base Matrix'!E$56+'Demand Base Matrix'!E$57)*$W$2*$AD$2+'Demand Base Matrix'!E$58*$W$2*$AD$2*$AE$2+'Demand Base Matrix'!E$60+'Demand Base Matrix'!E$61*$AF$2),IF($C92="Explore",('Demand Base Matrix'!E$82*$AC$2*$AD$2*$AE$2*$AF$2+'Demand Base Matrix'!E$83*$W$2*$AC$2*$AD$2*$AE$2*$AF$2+'Demand Base Matrix'!E$84)))))</f>
        <v>15</v>
      </c>
      <c r="AI92">
        <f>IF($C92="Validate",(('Demand Base Matrix'!F$2+'Demand Base Matrix'!F$6)*$AC$2*$AD$2*$AE$2+('Demand Base Matrix'!F$3+'Demand Base Matrix'!F$4)*$W$2*$AD$2+'Demand Base Matrix'!F$5*$W$2*$AD$2*$AE$2+'Demand Base Matrix'!F$7+'Demand Base Matrix'!F$8*$AF$2),IF($C92="Integrate",(('Demand Base Matrix'!F$28+'Demand Base Matrix'!F$32)*$AC$2*$AD$2*$AE$2+('Demand Base Matrix'!F$29+'Demand Base Matrix'!F$30)*$W$2*$AD$2+'Demand Base Matrix'!F$31*$W$2*$AD$2*$AE$2+'Demand Base Matrix'!F$33+'Demand Base Matrix'!F$34*$AF$2),IF($C92="Bond",(('Demand Base Matrix'!F$55+'Demand Base Matrix'!F$59)*$AC$2*$AD$2*$AE$2+('Demand Base Matrix'!F$56+'Demand Base Matrix'!F$57)*$W$2*$AD$2+'Demand Base Matrix'!F$58*$W$2*$AD$2*$AE$2+'Demand Base Matrix'!F$60+'Demand Base Matrix'!F$61*$AF$2),IF($C92="Explore",('Demand Base Matrix'!F$82*$AC$2*$AD$2*$AE$2*$AF$2+'Demand Base Matrix'!F$83*$W$2*$AC$2*$AD$2*$AE$2*$AF$2+'Demand Base Matrix'!F$84)))))</f>
        <v>7</v>
      </c>
      <c r="AJ92">
        <f>IF($C92="Validate",(('Demand Base Matrix'!G$2+'Demand Base Matrix'!G$6)*$AC$2*$AD$2*$AE$2+('Demand Base Matrix'!G$3+'Demand Base Matrix'!G$4)*$W$2*$AD$2+'Demand Base Matrix'!G$5*$W$2*$AD$2*$AE$2+'Demand Base Matrix'!G$7+'Demand Base Matrix'!G$8*$AF$2),IF($C92="Integrate",(('Demand Base Matrix'!G$28+'Demand Base Matrix'!G$32)*$AC$2*$AD$2*$AE$2+('Demand Base Matrix'!G$29+'Demand Base Matrix'!G$30)*$W$2*$AD$2+'Demand Base Matrix'!G$31*$W$2*$AD$2*$AE$2+'Demand Base Matrix'!G$33+'Demand Base Matrix'!G$34*$AF$2),IF($C92="Bond",(('Demand Base Matrix'!G$55+'Demand Base Matrix'!G$59)*$AC$2*$AD$2*$AE$2+('Demand Base Matrix'!G$56+'Demand Base Matrix'!G$57)*$W$2*$AD$2+'Demand Base Matrix'!G$58*$W$2*$AD$2*$AE$2+'Demand Base Matrix'!G$60+'Demand Base Matrix'!G$61*$AF$2),IF($C92="Explore",('Demand Base Matrix'!G$82*$AC$2*$AD$2*$AE$2*$AF$2+'Demand Base Matrix'!G$83*$W$2*$AC$2*$AD$2*$AE$2*$AF$2+'Demand Base Matrix'!G$84)))))</f>
        <v>40</v>
      </c>
      <c r="AK92">
        <f>IF($C92="Validate",(('Demand Base Matrix'!H$2+'Demand Base Matrix'!H$6)*$AC$2*$AD$2*$AE$2+('Demand Base Matrix'!H$3+'Demand Base Matrix'!H$4)*$W$2*$AD$2+'Demand Base Matrix'!H$5*$W$2*$AD$2*$AE$2+'Demand Base Matrix'!H$7+'Demand Base Matrix'!H$8*$AF$2),IF($C92="Integrate",(('Demand Base Matrix'!H$28+'Demand Base Matrix'!H$32)*$AC$2*$AD$2*$AE$2+('Demand Base Matrix'!H$29+'Demand Base Matrix'!H$30)*$W$2*$AD$2+'Demand Base Matrix'!H$31*$W$2*$AD$2*$AE$2+'Demand Base Matrix'!H$33+'Demand Base Matrix'!H$34*$AF$2),IF($C92="Bond",(('Demand Base Matrix'!H$55+'Demand Base Matrix'!H$59)*$AC$2*$AD$2*$AE$2+('Demand Base Matrix'!H$56+'Demand Base Matrix'!H$57)*$W$2*$AD$2+'Demand Base Matrix'!H$58*$W$2*$AD$2*$AE$2+'Demand Base Matrix'!H$60+'Demand Base Matrix'!H$61*$AF$2),IF($C92="Explore",('Demand Base Matrix'!H$82*$AC$2*$AD$2*$AE$2*$AF$2+'Demand Base Matrix'!H$83*$W$2*$AC$2*$AD$2*$AE$2*$AF$2+'Demand Base Matrix'!H$84)))))</f>
        <v>60</v>
      </c>
      <c r="AL92">
        <f>IF($C92="Validate",(('Demand Base Matrix'!I$2+'Demand Base Matrix'!I$6)*$AC$2*$AD$2*$AE$2+('Demand Base Matrix'!I$3+'Demand Base Matrix'!I$4)*$W$2*$AD$2+'Demand Base Matrix'!I$5*$W$2*$AD$2*$AE$2+'Demand Base Matrix'!I$7+'Demand Base Matrix'!I$8*$AF$2),IF($C92="Integrate",(('Demand Base Matrix'!I$28+'Demand Base Matrix'!I$32)*$AC$2*$AD$2*$AE$2+('Demand Base Matrix'!I$29+'Demand Base Matrix'!I$30)*$W$2*$AD$2+'Demand Base Matrix'!I$31*$W$2*$AD$2*$AE$2+'Demand Base Matrix'!I$33+'Demand Base Matrix'!I$34*$AF$2),IF($C92="Bond",(('Demand Base Matrix'!I$55+'Demand Base Matrix'!I$59)*$AC$2*$AD$2*$AE$2+('Demand Base Matrix'!I$56+'Demand Base Matrix'!I$57)*$W$2*$AD$2+'Demand Base Matrix'!I$58*$W$2*$AD$2*$AE$2+'Demand Base Matrix'!I$60+'Demand Base Matrix'!I$61*$AF$2),IF($C92="Explore",('Demand Base Matrix'!I$82*$AC$2*$AD$2*$AE$2*$AF$2+'Demand Base Matrix'!I$83*$W$2*$AC$2*$AD$2*$AE$2*$AF$2+'Demand Base Matrix'!I$84)))))</f>
        <v>10</v>
      </c>
      <c r="AM92">
        <f>IF($C92="Validate",(('Demand Base Matrix'!J$2+'Demand Base Matrix'!J$6)*$AC$2*$AD$2*$AE$2+('Demand Base Matrix'!J$3+'Demand Base Matrix'!J$4)*$W$2*$AD$2+'Demand Base Matrix'!J$5*$W$2*$AD$2*$AE$2+'Demand Base Matrix'!J$7+'Demand Base Matrix'!J$8*$AF$2),IF($C92="Integrate",(('Demand Base Matrix'!J$28+'Demand Base Matrix'!J$32)*$AC$2*$AD$2*$AE$2+('Demand Base Matrix'!J$29+'Demand Base Matrix'!J$30)*$W$2*$AD$2+'Demand Base Matrix'!J$31*$W$2*$AD$2*$AE$2+'Demand Base Matrix'!J$33+'Demand Base Matrix'!J$34*$AF$2),IF($C92="Bond",(('Demand Base Matrix'!J$55+'Demand Base Matrix'!J$59)*$AC$2*$AD$2*$AE$2+('Demand Base Matrix'!J$56+'Demand Base Matrix'!J$57)*$W$2*$AD$2+'Demand Base Matrix'!J$58*$W$2*$AD$2*$AE$2+'Demand Base Matrix'!J$60+'Demand Base Matrix'!J$61*$AF$2),IF($C92="Explore",('Demand Base Matrix'!J$82*$AC$2*$AD$2*$AE$2*$AF$2+'Demand Base Matrix'!J$83*$W$2*$AC$2*$AD$2*$AE$2*$AF$2+'Demand Base Matrix'!J$84)))))</f>
        <v>4</v>
      </c>
    </row>
    <row r="93" spans="1:39" x14ac:dyDescent="0.2">
      <c r="A93" t="s">
        <v>807</v>
      </c>
      <c r="B93" t="s">
        <v>364</v>
      </c>
      <c r="C93" t="s">
        <v>20</v>
      </c>
      <c r="D93" t="s">
        <v>694</v>
      </c>
      <c r="E93" t="s">
        <v>117</v>
      </c>
      <c r="I93" t="str">
        <f>IFERROR(INDEX('Customer 360'!F:F,MATCH(B93,'Customer 360'!A:A,0)),"-")</f>
        <v>B</v>
      </c>
      <c r="J93" s="5">
        <v>0</v>
      </c>
      <c r="K93" s="5">
        <v>130</v>
      </c>
      <c r="L93" s="4" t="s">
        <v>801</v>
      </c>
      <c r="M93" s="4" t="s">
        <v>801</v>
      </c>
      <c r="N93">
        <v>2026</v>
      </c>
      <c r="O93" s="4">
        <v>46023</v>
      </c>
      <c r="P93" t="s">
        <v>217</v>
      </c>
      <c r="Q93" s="18">
        <f t="shared" si="26"/>
        <v>46023</v>
      </c>
      <c r="R93" s="18">
        <f>IFERROR(IF(M93&lt;&gt;"",M93,IF(L93&lt;&gt;"",L93,INDEX('CSM RDD'!B:B,MATCH(B93,'CSM RDD'!A:A,0)))),"-")</f>
        <v>45962</v>
      </c>
      <c r="S93" s="18">
        <f t="shared" si="27"/>
        <v>46023</v>
      </c>
      <c r="T93" s="18">
        <f t="shared" si="28"/>
        <v>45962</v>
      </c>
      <c r="U93" s="6">
        <f t="shared" si="29"/>
        <v>130</v>
      </c>
      <c r="V93" s="18">
        <f t="shared" si="20"/>
        <v>46023</v>
      </c>
      <c r="W93">
        <f>IF(U93=0,1,IF(U93&lt;='Demand Base Matrix'!$K$3,'Demand Base Matrix'!$L$3,IF(U93&lt;='Demand Base Matrix'!$K$4,'Demand Base Matrix'!$L$4,IF(U93&lt;='Demand Base Matrix'!$K$5,'Demand Base Matrix'!$L$5,IF(U93&lt;='Demand Base Matrix'!$K$6,'Demand Base Matrix'!$L$6,IF(U93&lt;='Demand Base Matrix'!$K$7,'Demand Base Matrix'!$L$7))))))</f>
        <v>0.75</v>
      </c>
      <c r="X93" s="4">
        <f t="shared" si="30"/>
        <v>45962</v>
      </c>
      <c r="Y93" t="str">
        <f t="shared" si="31"/>
        <v>Tx</v>
      </c>
      <c r="Z93" t="s">
        <v>685</v>
      </c>
      <c r="AA93" t="s">
        <v>685</v>
      </c>
      <c r="AB93" t="s">
        <v>685</v>
      </c>
      <c r="AC93">
        <f>IFERROR(INDEX('Demand Base Matrix'!AM:AM,MATCH(Y93,'Demand Base Matrix'!AL:AL,0)),"-")</f>
        <v>1.5</v>
      </c>
      <c r="AD93">
        <f>IFERROR(INDEX('Demand Base Matrix'!AO:AO,MATCH(Z93,'Demand Base Matrix'!AN:AN,0)),1)</f>
        <v>1</v>
      </c>
      <c r="AE93">
        <f>IFERROR(INDEX('Demand Base Matrix'!AQ:AQ,MATCH(AA93,'Demand Base Matrix'!AP:AP,0)),1)</f>
        <v>1</v>
      </c>
      <c r="AF93">
        <f>IFERROR(INDEX('Demand Base Matrix'!AS:AS,MATCH(AB93,'Demand Base Matrix'!AR:AR,0)),1)</f>
        <v>1</v>
      </c>
      <c r="AG93">
        <f>IF($C93="Validate",(('Demand Base Matrix'!D$2+'Demand Base Matrix'!D$6)*$AC$2*$AD$2*$AE$2+('Demand Base Matrix'!D$3+'Demand Base Matrix'!D$4)*$W$2*$AD$2+'Demand Base Matrix'!D$5*$W$2*$AD$2*$AE$2+'Demand Base Matrix'!D$7+'Demand Base Matrix'!D$8*$AF$2),IF($C93="Integrate",(('Demand Base Matrix'!D$28+'Demand Base Matrix'!D$32)*$AC$2*$AD$2*$AE$2+('Demand Base Matrix'!D$29+'Demand Base Matrix'!D$30)*$W$2*$AD$2+'Demand Base Matrix'!D$31*$W$2*$AD$2*$AE$2+'Demand Base Matrix'!D$33+'Demand Base Matrix'!D$34*$AF$2),IF($C93="Bond",(('Demand Base Matrix'!D$55+'Demand Base Matrix'!D$59)*$AC$2*$AD$2*$AE$2+('Demand Base Matrix'!D$56+'Demand Base Matrix'!D$57)*$W$2*$AD$2+'Demand Base Matrix'!D$58*$W$2*$AD$2*$AE$2+'Demand Base Matrix'!D$60+'Demand Base Matrix'!D$61*$AF$2),IF($C93="Explore",('Demand Base Matrix'!D$82*$AC$2*$AD$2*$AE$2*$AF$2+'Demand Base Matrix'!D$83*$W$2*$AC$2*$AD$2*$AE$2*$AF$2+'Demand Base Matrix'!D$84)))))</f>
        <v>15</v>
      </c>
      <c r="AH93">
        <f>IF($C93="Validate",(('Demand Base Matrix'!E$2+'Demand Base Matrix'!E$6)*$AC$2*$AD$2*$AE$2+('Demand Base Matrix'!E$3+'Demand Base Matrix'!E$4)*$W$2*$AD$2+'Demand Base Matrix'!E$5*$W$2*$AD$2*$AE$2+'Demand Base Matrix'!E$7+'Demand Base Matrix'!E$8*$AF$2),IF($C93="Integrate",(('Demand Base Matrix'!E$28+'Demand Base Matrix'!E$32)*$AC$2*$AD$2*$AE$2+('Demand Base Matrix'!E$29+'Demand Base Matrix'!E$30)*$W$2*$AD$2+'Demand Base Matrix'!E$31*$W$2*$AD$2*$AE$2+'Demand Base Matrix'!E$33+'Demand Base Matrix'!E$34*$AF$2),IF($C93="Bond",(('Demand Base Matrix'!E$55+'Demand Base Matrix'!E$59)*$AC$2*$AD$2*$AE$2+('Demand Base Matrix'!E$56+'Demand Base Matrix'!E$57)*$W$2*$AD$2+'Demand Base Matrix'!E$58*$W$2*$AD$2*$AE$2+'Demand Base Matrix'!E$60+'Demand Base Matrix'!E$61*$AF$2),IF($C93="Explore",('Demand Base Matrix'!E$82*$AC$2*$AD$2*$AE$2*$AF$2+'Demand Base Matrix'!E$83*$W$2*$AC$2*$AD$2*$AE$2*$AF$2+'Demand Base Matrix'!E$84)))))</f>
        <v>15</v>
      </c>
      <c r="AI93">
        <f>IF($C93="Validate",(('Demand Base Matrix'!F$2+'Demand Base Matrix'!F$6)*$AC$2*$AD$2*$AE$2+('Demand Base Matrix'!F$3+'Demand Base Matrix'!F$4)*$W$2*$AD$2+'Demand Base Matrix'!F$5*$W$2*$AD$2*$AE$2+'Demand Base Matrix'!F$7+'Demand Base Matrix'!F$8*$AF$2),IF($C93="Integrate",(('Demand Base Matrix'!F$28+'Demand Base Matrix'!F$32)*$AC$2*$AD$2*$AE$2+('Demand Base Matrix'!F$29+'Demand Base Matrix'!F$30)*$W$2*$AD$2+'Demand Base Matrix'!F$31*$W$2*$AD$2*$AE$2+'Demand Base Matrix'!F$33+'Demand Base Matrix'!F$34*$AF$2),IF($C93="Bond",(('Demand Base Matrix'!F$55+'Demand Base Matrix'!F$59)*$AC$2*$AD$2*$AE$2+('Demand Base Matrix'!F$56+'Demand Base Matrix'!F$57)*$W$2*$AD$2+'Demand Base Matrix'!F$58*$W$2*$AD$2*$AE$2+'Demand Base Matrix'!F$60+'Demand Base Matrix'!F$61*$AF$2),IF($C93="Explore",('Demand Base Matrix'!F$82*$AC$2*$AD$2*$AE$2*$AF$2+'Demand Base Matrix'!F$83*$W$2*$AC$2*$AD$2*$AE$2*$AF$2+'Demand Base Matrix'!F$84)))))</f>
        <v>7</v>
      </c>
      <c r="AJ93">
        <f>IF($C93="Validate",(('Demand Base Matrix'!G$2+'Demand Base Matrix'!G$6)*$AC$2*$AD$2*$AE$2+('Demand Base Matrix'!G$3+'Demand Base Matrix'!G$4)*$W$2*$AD$2+'Demand Base Matrix'!G$5*$W$2*$AD$2*$AE$2+'Demand Base Matrix'!G$7+'Demand Base Matrix'!G$8*$AF$2),IF($C93="Integrate",(('Demand Base Matrix'!G$28+'Demand Base Matrix'!G$32)*$AC$2*$AD$2*$AE$2+('Demand Base Matrix'!G$29+'Demand Base Matrix'!G$30)*$W$2*$AD$2+'Demand Base Matrix'!G$31*$W$2*$AD$2*$AE$2+'Demand Base Matrix'!G$33+'Demand Base Matrix'!G$34*$AF$2),IF($C93="Bond",(('Demand Base Matrix'!G$55+'Demand Base Matrix'!G$59)*$AC$2*$AD$2*$AE$2+('Demand Base Matrix'!G$56+'Demand Base Matrix'!G$57)*$W$2*$AD$2+'Demand Base Matrix'!G$58*$W$2*$AD$2*$AE$2+'Demand Base Matrix'!G$60+'Demand Base Matrix'!G$61*$AF$2),IF($C93="Explore",('Demand Base Matrix'!G$82*$AC$2*$AD$2*$AE$2*$AF$2+'Demand Base Matrix'!G$83*$W$2*$AC$2*$AD$2*$AE$2*$AF$2+'Demand Base Matrix'!G$84)))))</f>
        <v>40</v>
      </c>
      <c r="AK93">
        <f>IF($C93="Validate",(('Demand Base Matrix'!H$2+'Demand Base Matrix'!H$6)*$AC$2*$AD$2*$AE$2+('Demand Base Matrix'!H$3+'Demand Base Matrix'!H$4)*$W$2*$AD$2+'Demand Base Matrix'!H$5*$W$2*$AD$2*$AE$2+'Demand Base Matrix'!H$7+'Demand Base Matrix'!H$8*$AF$2),IF($C93="Integrate",(('Demand Base Matrix'!H$28+'Demand Base Matrix'!H$32)*$AC$2*$AD$2*$AE$2+('Demand Base Matrix'!H$29+'Demand Base Matrix'!H$30)*$W$2*$AD$2+'Demand Base Matrix'!H$31*$W$2*$AD$2*$AE$2+'Demand Base Matrix'!H$33+'Demand Base Matrix'!H$34*$AF$2),IF($C93="Bond",(('Demand Base Matrix'!H$55+'Demand Base Matrix'!H$59)*$AC$2*$AD$2*$AE$2+('Demand Base Matrix'!H$56+'Demand Base Matrix'!H$57)*$W$2*$AD$2+'Demand Base Matrix'!H$58*$W$2*$AD$2*$AE$2+'Demand Base Matrix'!H$60+'Demand Base Matrix'!H$61*$AF$2),IF($C93="Explore",('Demand Base Matrix'!H$82*$AC$2*$AD$2*$AE$2*$AF$2+'Demand Base Matrix'!H$83*$W$2*$AC$2*$AD$2*$AE$2*$AF$2+'Demand Base Matrix'!H$84)))))</f>
        <v>60</v>
      </c>
      <c r="AL93">
        <f>IF($C93="Validate",(('Demand Base Matrix'!I$2+'Demand Base Matrix'!I$6)*$AC$2*$AD$2*$AE$2+('Demand Base Matrix'!I$3+'Demand Base Matrix'!I$4)*$W$2*$AD$2+'Demand Base Matrix'!I$5*$W$2*$AD$2*$AE$2+'Demand Base Matrix'!I$7+'Demand Base Matrix'!I$8*$AF$2),IF($C93="Integrate",(('Demand Base Matrix'!I$28+'Demand Base Matrix'!I$32)*$AC$2*$AD$2*$AE$2+('Demand Base Matrix'!I$29+'Demand Base Matrix'!I$30)*$W$2*$AD$2+'Demand Base Matrix'!I$31*$W$2*$AD$2*$AE$2+'Demand Base Matrix'!I$33+'Demand Base Matrix'!I$34*$AF$2),IF($C93="Bond",(('Demand Base Matrix'!I$55+'Demand Base Matrix'!I$59)*$AC$2*$AD$2*$AE$2+('Demand Base Matrix'!I$56+'Demand Base Matrix'!I$57)*$W$2*$AD$2+'Demand Base Matrix'!I$58*$W$2*$AD$2*$AE$2+'Demand Base Matrix'!I$60+'Demand Base Matrix'!I$61*$AF$2),IF($C93="Explore",('Demand Base Matrix'!I$82*$AC$2*$AD$2*$AE$2*$AF$2+'Demand Base Matrix'!I$83*$W$2*$AC$2*$AD$2*$AE$2*$AF$2+'Demand Base Matrix'!I$84)))))</f>
        <v>10</v>
      </c>
      <c r="AM93">
        <f>IF($C93="Validate",(('Demand Base Matrix'!J$2+'Demand Base Matrix'!J$6)*$AC$2*$AD$2*$AE$2+('Demand Base Matrix'!J$3+'Demand Base Matrix'!J$4)*$W$2*$AD$2+'Demand Base Matrix'!J$5*$W$2*$AD$2*$AE$2+'Demand Base Matrix'!J$7+'Demand Base Matrix'!J$8*$AF$2),IF($C93="Integrate",(('Demand Base Matrix'!J$28+'Demand Base Matrix'!J$32)*$AC$2*$AD$2*$AE$2+('Demand Base Matrix'!J$29+'Demand Base Matrix'!J$30)*$W$2*$AD$2+'Demand Base Matrix'!J$31*$W$2*$AD$2*$AE$2+'Demand Base Matrix'!J$33+'Demand Base Matrix'!J$34*$AF$2),IF($C93="Bond",(('Demand Base Matrix'!J$55+'Demand Base Matrix'!J$59)*$AC$2*$AD$2*$AE$2+('Demand Base Matrix'!J$56+'Demand Base Matrix'!J$57)*$W$2*$AD$2+'Demand Base Matrix'!J$58*$W$2*$AD$2*$AE$2+'Demand Base Matrix'!J$60+'Demand Base Matrix'!J$61*$AF$2),IF($C93="Explore",('Demand Base Matrix'!J$82*$AC$2*$AD$2*$AE$2*$AF$2+'Demand Base Matrix'!J$83*$W$2*$AC$2*$AD$2*$AE$2*$AF$2+'Demand Base Matrix'!J$84)))))</f>
        <v>4</v>
      </c>
    </row>
    <row r="94" spans="1:39" x14ac:dyDescent="0.2">
      <c r="A94" t="s">
        <v>809</v>
      </c>
      <c r="B94" t="s">
        <v>228</v>
      </c>
      <c r="C94" t="s">
        <v>23</v>
      </c>
      <c r="D94" t="s">
        <v>694</v>
      </c>
      <c r="E94" t="s">
        <v>115</v>
      </c>
      <c r="F94" t="s">
        <v>184</v>
      </c>
      <c r="I94" t="str">
        <f>IFERROR(INDEX('Customer 360'!F:F,MATCH(B94,'Customer 360'!A:A,0)),"-")</f>
        <v>C</v>
      </c>
      <c r="J94" s="5">
        <v>937</v>
      </c>
      <c r="K94" s="5">
        <v>0</v>
      </c>
      <c r="L94" s="4" t="s">
        <v>801</v>
      </c>
      <c r="M94" s="4">
        <v>46311</v>
      </c>
      <c r="N94">
        <v>2026</v>
      </c>
      <c r="O94" s="4">
        <v>46023</v>
      </c>
      <c r="P94" t="s">
        <v>217</v>
      </c>
      <c r="Q94" s="18">
        <f t="shared" si="26"/>
        <v>46023</v>
      </c>
      <c r="R94" s="18">
        <f>IFERROR(IF(M94&lt;&gt;"",M94,IF(L94&lt;&gt;"",L94,INDEX('CSM RDD'!B:B,MATCH(B94,'CSM RDD'!A:A,0)))),"-")</f>
        <v>46311</v>
      </c>
      <c r="S94" s="18">
        <f t="shared" si="27"/>
        <v>46023</v>
      </c>
      <c r="T94" s="18">
        <f t="shared" si="28"/>
        <v>46296</v>
      </c>
      <c r="U94" s="6">
        <f t="shared" si="29"/>
        <v>937</v>
      </c>
      <c r="V94" s="18">
        <f t="shared" si="20"/>
        <v>46082</v>
      </c>
      <c r="W94">
        <f>IF(U94=0,1,IF(U94&lt;='Demand Base Matrix'!$K$3,'Demand Base Matrix'!$L$3,IF(U94&lt;='Demand Base Matrix'!$K$4,'Demand Base Matrix'!$L$4,IF(U94&lt;='Demand Base Matrix'!$K$5,'Demand Base Matrix'!$L$5,IF(U94&lt;='Demand Base Matrix'!$K$6,'Demand Base Matrix'!$L$6,IF(U94&lt;='Demand Base Matrix'!$K$7,'Demand Base Matrix'!$L$7))))))</f>
        <v>0.75</v>
      </c>
      <c r="X94" s="4">
        <f t="shared" si="30"/>
        <v>46296</v>
      </c>
      <c r="Y94" t="str">
        <f t="shared" si="31"/>
        <v>Dx</v>
      </c>
      <c r="Z94" t="s">
        <v>685</v>
      </c>
      <c r="AA94" t="s">
        <v>685</v>
      </c>
      <c r="AB94" t="s">
        <v>685</v>
      </c>
      <c r="AC94">
        <f>IFERROR(INDEX('Demand Base Matrix'!AM:AM,MATCH(Y94,'Demand Base Matrix'!AL:AL,0)),"-")</f>
        <v>1</v>
      </c>
      <c r="AD94">
        <f>IFERROR(INDEX('Demand Base Matrix'!AO:AO,MATCH(Z94,'Demand Base Matrix'!AN:AN,0)),1)</f>
        <v>1</v>
      </c>
      <c r="AE94">
        <f>IFERROR(INDEX('Demand Base Matrix'!AQ:AQ,MATCH(AA94,'Demand Base Matrix'!AP:AP,0)),1)</f>
        <v>1</v>
      </c>
      <c r="AF94">
        <f>IFERROR(INDEX('Demand Base Matrix'!AS:AS,MATCH(AB94,'Demand Base Matrix'!AR:AR,0)),1)</f>
        <v>1</v>
      </c>
      <c r="AG94">
        <f>IF($C94="Validate",(('Demand Base Matrix'!D$2+'Demand Base Matrix'!D$6)*$AC$2*$AD$2*$AE$2+('Demand Base Matrix'!D$3+'Demand Base Matrix'!D$4)*$W$2*$AD$2+'Demand Base Matrix'!D$5*$W$2*$AD$2*$AE$2+'Demand Base Matrix'!D$7+'Demand Base Matrix'!D$8*$AF$2),IF($C94="Integrate",(('Demand Base Matrix'!D$28+'Demand Base Matrix'!D$32)*$AC$2*$AD$2*$AE$2+('Demand Base Matrix'!D$29+'Demand Base Matrix'!D$30)*$W$2*$AD$2+'Demand Base Matrix'!D$31*$W$2*$AD$2*$AE$2+'Demand Base Matrix'!D$33+'Demand Base Matrix'!D$34*$AF$2),IF($C94="Bond",(('Demand Base Matrix'!D$55+'Demand Base Matrix'!D$59)*$AC$2*$AD$2*$AE$2+('Demand Base Matrix'!D$56+'Demand Base Matrix'!D$57)*$W$2*$AD$2+'Demand Base Matrix'!D$58*$W$2*$AD$2*$AE$2+'Demand Base Matrix'!D$60+'Demand Base Matrix'!D$61*$AF$2),IF($C94="Explore",('Demand Base Matrix'!D$82*$AC$2*$AD$2*$AE$2*$AF$2+'Demand Base Matrix'!D$83*$W$2*$AC$2*$AD$2*$AE$2*$AF$2+'Demand Base Matrix'!D$84)))))</f>
        <v>10</v>
      </c>
      <c r="AH94">
        <f>IF($C94="Validate",(('Demand Base Matrix'!E$2+'Demand Base Matrix'!E$6)*$AC$2*$AD$2*$AE$2+('Demand Base Matrix'!E$3+'Demand Base Matrix'!E$4)*$W$2*$AD$2+'Demand Base Matrix'!E$5*$W$2*$AD$2*$AE$2+'Demand Base Matrix'!E$7+'Demand Base Matrix'!E$8*$AF$2),IF($C94="Integrate",(('Demand Base Matrix'!E$28+'Demand Base Matrix'!E$32)*$AC$2*$AD$2*$AE$2+('Demand Base Matrix'!E$29+'Demand Base Matrix'!E$30)*$W$2*$AD$2+'Demand Base Matrix'!E$31*$W$2*$AD$2*$AE$2+'Demand Base Matrix'!E$33+'Demand Base Matrix'!E$34*$AF$2),IF($C94="Bond",(('Demand Base Matrix'!E$55+'Demand Base Matrix'!E$59)*$AC$2*$AD$2*$AE$2+('Demand Base Matrix'!E$56+'Demand Base Matrix'!E$57)*$W$2*$AD$2+'Demand Base Matrix'!E$58*$W$2*$AD$2*$AE$2+'Demand Base Matrix'!E$60+'Demand Base Matrix'!E$61*$AF$2),IF($C94="Explore",('Demand Base Matrix'!E$82*$AC$2*$AD$2*$AE$2*$AF$2+'Demand Base Matrix'!E$83*$W$2*$AC$2*$AD$2*$AE$2*$AF$2+'Demand Base Matrix'!E$84)))))</f>
        <v>10</v>
      </c>
      <c r="AI94">
        <f>IF($C94="Validate",(('Demand Base Matrix'!F$2+'Demand Base Matrix'!F$6)*$AC$2*$AD$2*$AE$2+('Demand Base Matrix'!F$3+'Demand Base Matrix'!F$4)*$W$2*$AD$2+'Demand Base Matrix'!F$5*$W$2*$AD$2*$AE$2+'Demand Base Matrix'!F$7+'Demand Base Matrix'!F$8*$AF$2),IF($C94="Integrate",(('Demand Base Matrix'!F$28+'Demand Base Matrix'!F$32)*$AC$2*$AD$2*$AE$2+('Demand Base Matrix'!F$29+'Demand Base Matrix'!F$30)*$W$2*$AD$2+'Demand Base Matrix'!F$31*$W$2*$AD$2*$AE$2+'Demand Base Matrix'!F$33+'Demand Base Matrix'!F$34*$AF$2),IF($C94="Bond",(('Demand Base Matrix'!F$55+'Demand Base Matrix'!F$59)*$AC$2*$AD$2*$AE$2+('Demand Base Matrix'!F$56+'Demand Base Matrix'!F$57)*$W$2*$AD$2+'Demand Base Matrix'!F$58*$W$2*$AD$2*$AE$2+'Demand Base Matrix'!F$60+'Demand Base Matrix'!F$61*$AF$2),IF($C94="Explore",('Demand Base Matrix'!F$82*$AC$2*$AD$2*$AE$2*$AF$2+'Demand Base Matrix'!F$83*$W$2*$AC$2*$AD$2*$AE$2*$AF$2+'Demand Base Matrix'!F$84)))))</f>
        <v>10</v>
      </c>
      <c r="AJ94">
        <f>IF($C94="Validate",(('Demand Base Matrix'!G$2+'Demand Base Matrix'!G$6)*$AC$2*$AD$2*$AE$2+('Demand Base Matrix'!G$3+'Demand Base Matrix'!G$4)*$W$2*$AD$2+'Demand Base Matrix'!G$5*$W$2*$AD$2*$AE$2+'Demand Base Matrix'!G$7+'Demand Base Matrix'!G$8*$AF$2),IF($C94="Integrate",(('Demand Base Matrix'!G$28+'Demand Base Matrix'!G$32)*$AC$2*$AD$2*$AE$2+('Demand Base Matrix'!G$29+'Demand Base Matrix'!G$30)*$W$2*$AD$2+'Demand Base Matrix'!G$31*$W$2*$AD$2*$AE$2+'Demand Base Matrix'!G$33+'Demand Base Matrix'!G$34*$AF$2),IF($C94="Bond",(('Demand Base Matrix'!G$55+'Demand Base Matrix'!G$59)*$AC$2*$AD$2*$AE$2+('Demand Base Matrix'!G$56+'Demand Base Matrix'!G$57)*$W$2*$AD$2+'Demand Base Matrix'!G$58*$W$2*$AD$2*$AE$2+'Demand Base Matrix'!G$60+'Demand Base Matrix'!G$61*$AF$2),IF($C94="Explore",('Demand Base Matrix'!G$82*$AC$2*$AD$2*$AE$2*$AF$2+'Demand Base Matrix'!G$83*$W$2*$AC$2*$AD$2*$AE$2*$AF$2+'Demand Base Matrix'!G$84)))))</f>
        <v>50</v>
      </c>
      <c r="AK94">
        <f>IF($C94="Validate",(('Demand Base Matrix'!H$2+'Demand Base Matrix'!H$6)*$AC$2*$AD$2*$AE$2+('Demand Base Matrix'!H$3+'Demand Base Matrix'!H$4)*$W$2*$AD$2+'Demand Base Matrix'!H$5*$W$2*$AD$2*$AE$2+'Demand Base Matrix'!H$7+'Demand Base Matrix'!H$8*$AF$2),IF($C94="Integrate",(('Demand Base Matrix'!H$28+'Demand Base Matrix'!H$32)*$AC$2*$AD$2*$AE$2+('Demand Base Matrix'!H$29+'Demand Base Matrix'!H$30)*$W$2*$AD$2+'Demand Base Matrix'!H$31*$W$2*$AD$2*$AE$2+'Demand Base Matrix'!H$33+'Demand Base Matrix'!H$34*$AF$2),IF($C94="Bond",(('Demand Base Matrix'!H$55+'Demand Base Matrix'!H$59)*$AC$2*$AD$2*$AE$2+('Demand Base Matrix'!H$56+'Demand Base Matrix'!H$57)*$W$2*$AD$2+'Demand Base Matrix'!H$58*$W$2*$AD$2*$AE$2+'Demand Base Matrix'!H$60+'Demand Base Matrix'!H$61*$AF$2),IF($C94="Explore",('Demand Base Matrix'!H$82*$AC$2*$AD$2*$AE$2*$AF$2+'Demand Base Matrix'!H$83*$W$2*$AC$2*$AD$2*$AE$2*$AF$2+'Demand Base Matrix'!H$84)))))</f>
        <v>28</v>
      </c>
      <c r="AL94">
        <f>IF($C94="Validate",(('Demand Base Matrix'!I$2+'Demand Base Matrix'!I$6)*$AC$2*$AD$2*$AE$2+('Demand Base Matrix'!I$3+'Demand Base Matrix'!I$4)*$W$2*$AD$2+'Demand Base Matrix'!I$5*$W$2*$AD$2*$AE$2+'Demand Base Matrix'!I$7+'Demand Base Matrix'!I$8*$AF$2),IF($C94="Integrate",(('Demand Base Matrix'!I$28+'Demand Base Matrix'!I$32)*$AC$2*$AD$2*$AE$2+('Demand Base Matrix'!I$29+'Demand Base Matrix'!I$30)*$W$2*$AD$2+'Demand Base Matrix'!I$31*$W$2*$AD$2*$AE$2+'Demand Base Matrix'!I$33+'Demand Base Matrix'!I$34*$AF$2),IF($C94="Bond",(('Demand Base Matrix'!I$55+'Demand Base Matrix'!I$59)*$AC$2*$AD$2*$AE$2+('Demand Base Matrix'!I$56+'Demand Base Matrix'!I$57)*$W$2*$AD$2+'Demand Base Matrix'!I$58*$W$2*$AD$2*$AE$2+'Demand Base Matrix'!I$60+'Demand Base Matrix'!I$61*$AF$2),IF($C94="Explore",('Demand Base Matrix'!I$82*$AC$2*$AD$2*$AE$2*$AF$2+'Demand Base Matrix'!I$83*$W$2*$AC$2*$AD$2*$AE$2*$AF$2+'Demand Base Matrix'!I$84)))))</f>
        <v>8</v>
      </c>
      <c r="AM94">
        <f>IF($C94="Validate",(('Demand Base Matrix'!J$2+'Demand Base Matrix'!J$6)*$AC$2*$AD$2*$AE$2+('Demand Base Matrix'!J$3+'Demand Base Matrix'!J$4)*$W$2*$AD$2+'Demand Base Matrix'!J$5*$W$2*$AD$2*$AE$2+'Demand Base Matrix'!J$7+'Demand Base Matrix'!J$8*$AF$2),IF($C94="Integrate",(('Demand Base Matrix'!J$28+'Demand Base Matrix'!J$32)*$AC$2*$AD$2*$AE$2+('Demand Base Matrix'!J$29+'Demand Base Matrix'!J$30)*$W$2*$AD$2+'Demand Base Matrix'!J$31*$W$2*$AD$2*$AE$2+'Demand Base Matrix'!J$33+'Demand Base Matrix'!J$34*$AF$2),IF($C94="Bond",(('Demand Base Matrix'!J$55+'Demand Base Matrix'!J$59)*$AC$2*$AD$2*$AE$2+('Demand Base Matrix'!J$56+'Demand Base Matrix'!J$57)*$W$2*$AD$2+'Demand Base Matrix'!J$58*$W$2*$AD$2*$AE$2+'Demand Base Matrix'!J$60+'Demand Base Matrix'!J$61*$AF$2),IF($C94="Explore",('Demand Base Matrix'!J$82*$AC$2*$AD$2*$AE$2*$AF$2+'Demand Base Matrix'!J$83*$W$2*$AC$2*$AD$2*$AE$2*$AF$2+'Demand Base Matrix'!J$84)))))</f>
        <v>8</v>
      </c>
    </row>
    <row r="95" spans="1:39" x14ac:dyDescent="0.2">
      <c r="A95" t="s">
        <v>810</v>
      </c>
      <c r="B95" t="s">
        <v>703</v>
      </c>
      <c r="C95" t="s">
        <v>20</v>
      </c>
      <c r="D95" t="s">
        <v>69</v>
      </c>
      <c r="E95" t="s">
        <v>699</v>
      </c>
      <c r="F95" t="s">
        <v>185</v>
      </c>
      <c r="I95" t="str">
        <f>IFERROR(INDEX('Customer 360'!F:F,MATCH(B95,'Customer 360'!A:A,0)),"-")</f>
        <v>NA</v>
      </c>
      <c r="J95" s="5">
        <v>0</v>
      </c>
      <c r="K95" s="5">
        <v>100</v>
      </c>
      <c r="L95" s="4" t="s">
        <v>801</v>
      </c>
      <c r="M95" s="4" t="s">
        <v>801</v>
      </c>
      <c r="N95">
        <v>2026</v>
      </c>
      <c r="O95" s="4">
        <v>46023</v>
      </c>
      <c r="P95" t="s">
        <v>217</v>
      </c>
      <c r="Q95" s="18">
        <f t="shared" si="26"/>
        <v>46023</v>
      </c>
      <c r="R95" s="18" t="str">
        <f>IFERROR(IF(M95&lt;&gt;"",M95,IF(L95&lt;&gt;"",L95,INDEX('CSM RDD'!B:B,MATCH(B95,'CSM RDD'!A:A,0)))),"-")</f>
        <v>-</v>
      </c>
      <c r="S95" s="18">
        <f t="shared" si="27"/>
        <v>46023</v>
      </c>
      <c r="T95" s="18" t="str">
        <f t="shared" si="28"/>
        <v/>
      </c>
      <c r="U95" s="6">
        <f t="shared" si="29"/>
        <v>100</v>
      </c>
      <c r="V95" s="18">
        <f t="shared" si="20"/>
        <v>46023</v>
      </c>
      <c r="W95">
        <f>IF(U95=0,1,IF(U95&lt;='Demand Base Matrix'!$K$3,'Demand Base Matrix'!$L$3,IF(U95&lt;='Demand Base Matrix'!$K$4,'Demand Base Matrix'!$L$4,IF(U95&lt;='Demand Base Matrix'!$K$5,'Demand Base Matrix'!$L$5,IF(U95&lt;='Demand Base Matrix'!$K$6,'Demand Base Matrix'!$L$6,IF(U95&lt;='Demand Base Matrix'!$K$7,'Demand Base Matrix'!$L$7))))))</f>
        <v>0.75</v>
      </c>
      <c r="X95" s="4" t="e">
        <f t="shared" si="30"/>
        <v>#VALUE!</v>
      </c>
      <c r="Y95" t="str">
        <f t="shared" si="31"/>
        <v>Tx</v>
      </c>
      <c r="Z95" t="s">
        <v>685</v>
      </c>
      <c r="AA95" t="s">
        <v>685</v>
      </c>
      <c r="AB95" t="s">
        <v>685</v>
      </c>
      <c r="AC95">
        <f>IFERROR(INDEX('Demand Base Matrix'!AM:AM,MATCH(Y95,'Demand Base Matrix'!AL:AL,0)),"-")</f>
        <v>1.5</v>
      </c>
      <c r="AD95">
        <f>IFERROR(INDEX('Demand Base Matrix'!AO:AO,MATCH(Z95,'Demand Base Matrix'!AN:AN,0)),1)</f>
        <v>1</v>
      </c>
      <c r="AE95">
        <f>IFERROR(INDEX('Demand Base Matrix'!AQ:AQ,MATCH(AA95,'Demand Base Matrix'!AP:AP,0)),1)</f>
        <v>1</v>
      </c>
      <c r="AF95">
        <f>IFERROR(INDEX('Demand Base Matrix'!AS:AS,MATCH(AB95,'Demand Base Matrix'!AR:AR,0)),1)</f>
        <v>1</v>
      </c>
      <c r="AG95">
        <f>IF($C95="Validate",(('Demand Base Matrix'!D$2+'Demand Base Matrix'!D$6)*$AC$2*$AD$2*$AE$2+('Demand Base Matrix'!D$3+'Demand Base Matrix'!D$4)*$W$2*$AD$2+'Demand Base Matrix'!D$5*$W$2*$AD$2*$AE$2+'Demand Base Matrix'!D$7+'Demand Base Matrix'!D$8*$AF$2),IF($C95="Integrate",(('Demand Base Matrix'!D$28+'Demand Base Matrix'!D$32)*$AC$2*$AD$2*$AE$2+('Demand Base Matrix'!D$29+'Demand Base Matrix'!D$30)*$W$2*$AD$2+'Demand Base Matrix'!D$31*$W$2*$AD$2*$AE$2+'Demand Base Matrix'!D$33+'Demand Base Matrix'!D$34*$AF$2),IF($C95="Bond",(('Demand Base Matrix'!D$55+'Demand Base Matrix'!D$59)*$AC$2*$AD$2*$AE$2+('Demand Base Matrix'!D$56+'Demand Base Matrix'!D$57)*$W$2*$AD$2+'Demand Base Matrix'!D$58*$W$2*$AD$2*$AE$2+'Demand Base Matrix'!D$60+'Demand Base Matrix'!D$61*$AF$2),IF($C95="Explore",('Demand Base Matrix'!D$82*$AC$2*$AD$2*$AE$2*$AF$2+'Demand Base Matrix'!D$83*$W$2*$AC$2*$AD$2*$AE$2*$AF$2+'Demand Base Matrix'!D$84)))))</f>
        <v>15</v>
      </c>
      <c r="AH95">
        <f>IF($C95="Validate",(('Demand Base Matrix'!E$2+'Demand Base Matrix'!E$6)*$AC$2*$AD$2*$AE$2+('Demand Base Matrix'!E$3+'Demand Base Matrix'!E$4)*$W$2*$AD$2+'Demand Base Matrix'!E$5*$W$2*$AD$2*$AE$2+'Demand Base Matrix'!E$7+'Demand Base Matrix'!E$8*$AF$2),IF($C95="Integrate",(('Demand Base Matrix'!E$28+'Demand Base Matrix'!E$32)*$AC$2*$AD$2*$AE$2+('Demand Base Matrix'!E$29+'Demand Base Matrix'!E$30)*$W$2*$AD$2+'Demand Base Matrix'!E$31*$W$2*$AD$2*$AE$2+'Demand Base Matrix'!E$33+'Demand Base Matrix'!E$34*$AF$2),IF($C95="Bond",(('Demand Base Matrix'!E$55+'Demand Base Matrix'!E$59)*$AC$2*$AD$2*$AE$2+('Demand Base Matrix'!E$56+'Demand Base Matrix'!E$57)*$W$2*$AD$2+'Demand Base Matrix'!E$58*$W$2*$AD$2*$AE$2+'Demand Base Matrix'!E$60+'Demand Base Matrix'!E$61*$AF$2),IF($C95="Explore",('Demand Base Matrix'!E$82*$AC$2*$AD$2*$AE$2*$AF$2+'Demand Base Matrix'!E$83*$W$2*$AC$2*$AD$2*$AE$2*$AF$2+'Demand Base Matrix'!E$84)))))</f>
        <v>15</v>
      </c>
      <c r="AI95">
        <f>IF($C95="Validate",(('Demand Base Matrix'!F$2+'Demand Base Matrix'!F$6)*$AC$2*$AD$2*$AE$2+('Demand Base Matrix'!F$3+'Demand Base Matrix'!F$4)*$W$2*$AD$2+'Demand Base Matrix'!F$5*$W$2*$AD$2*$AE$2+'Demand Base Matrix'!F$7+'Demand Base Matrix'!F$8*$AF$2),IF($C95="Integrate",(('Demand Base Matrix'!F$28+'Demand Base Matrix'!F$32)*$AC$2*$AD$2*$AE$2+('Demand Base Matrix'!F$29+'Demand Base Matrix'!F$30)*$W$2*$AD$2+'Demand Base Matrix'!F$31*$W$2*$AD$2*$AE$2+'Demand Base Matrix'!F$33+'Demand Base Matrix'!F$34*$AF$2),IF($C95="Bond",(('Demand Base Matrix'!F$55+'Demand Base Matrix'!F$59)*$AC$2*$AD$2*$AE$2+('Demand Base Matrix'!F$56+'Demand Base Matrix'!F$57)*$W$2*$AD$2+'Demand Base Matrix'!F$58*$W$2*$AD$2*$AE$2+'Demand Base Matrix'!F$60+'Demand Base Matrix'!F$61*$AF$2),IF($C95="Explore",('Demand Base Matrix'!F$82*$AC$2*$AD$2*$AE$2*$AF$2+'Demand Base Matrix'!F$83*$W$2*$AC$2*$AD$2*$AE$2*$AF$2+'Demand Base Matrix'!F$84)))))</f>
        <v>7</v>
      </c>
      <c r="AJ95">
        <f>IF($C95="Validate",(('Demand Base Matrix'!G$2+'Demand Base Matrix'!G$6)*$AC$2*$AD$2*$AE$2+('Demand Base Matrix'!G$3+'Demand Base Matrix'!G$4)*$W$2*$AD$2+'Demand Base Matrix'!G$5*$W$2*$AD$2*$AE$2+'Demand Base Matrix'!G$7+'Demand Base Matrix'!G$8*$AF$2),IF($C95="Integrate",(('Demand Base Matrix'!G$28+'Demand Base Matrix'!G$32)*$AC$2*$AD$2*$AE$2+('Demand Base Matrix'!G$29+'Demand Base Matrix'!G$30)*$W$2*$AD$2+'Demand Base Matrix'!G$31*$W$2*$AD$2*$AE$2+'Demand Base Matrix'!G$33+'Demand Base Matrix'!G$34*$AF$2),IF($C95="Bond",(('Demand Base Matrix'!G$55+'Demand Base Matrix'!G$59)*$AC$2*$AD$2*$AE$2+('Demand Base Matrix'!G$56+'Demand Base Matrix'!G$57)*$W$2*$AD$2+'Demand Base Matrix'!G$58*$W$2*$AD$2*$AE$2+'Demand Base Matrix'!G$60+'Demand Base Matrix'!G$61*$AF$2),IF($C95="Explore",('Demand Base Matrix'!G$82*$AC$2*$AD$2*$AE$2*$AF$2+'Demand Base Matrix'!G$83*$W$2*$AC$2*$AD$2*$AE$2*$AF$2+'Demand Base Matrix'!G$84)))))</f>
        <v>40</v>
      </c>
      <c r="AK95">
        <f>IF($C95="Validate",(('Demand Base Matrix'!H$2+'Demand Base Matrix'!H$6)*$AC$2*$AD$2*$AE$2+('Demand Base Matrix'!H$3+'Demand Base Matrix'!H$4)*$W$2*$AD$2+'Demand Base Matrix'!H$5*$W$2*$AD$2*$AE$2+'Demand Base Matrix'!H$7+'Demand Base Matrix'!H$8*$AF$2),IF($C95="Integrate",(('Demand Base Matrix'!H$28+'Demand Base Matrix'!H$32)*$AC$2*$AD$2*$AE$2+('Demand Base Matrix'!H$29+'Demand Base Matrix'!H$30)*$W$2*$AD$2+'Demand Base Matrix'!H$31*$W$2*$AD$2*$AE$2+'Demand Base Matrix'!H$33+'Demand Base Matrix'!H$34*$AF$2),IF($C95="Bond",(('Demand Base Matrix'!H$55+'Demand Base Matrix'!H$59)*$AC$2*$AD$2*$AE$2+('Demand Base Matrix'!H$56+'Demand Base Matrix'!H$57)*$W$2*$AD$2+'Demand Base Matrix'!H$58*$W$2*$AD$2*$AE$2+'Demand Base Matrix'!H$60+'Demand Base Matrix'!H$61*$AF$2),IF($C95="Explore",('Demand Base Matrix'!H$82*$AC$2*$AD$2*$AE$2*$AF$2+'Demand Base Matrix'!H$83*$W$2*$AC$2*$AD$2*$AE$2*$AF$2+'Demand Base Matrix'!H$84)))))</f>
        <v>60</v>
      </c>
      <c r="AL95">
        <f>IF($C95="Validate",(('Demand Base Matrix'!I$2+'Demand Base Matrix'!I$6)*$AC$2*$AD$2*$AE$2+('Demand Base Matrix'!I$3+'Demand Base Matrix'!I$4)*$W$2*$AD$2+'Demand Base Matrix'!I$5*$W$2*$AD$2*$AE$2+'Demand Base Matrix'!I$7+'Demand Base Matrix'!I$8*$AF$2),IF($C95="Integrate",(('Demand Base Matrix'!I$28+'Demand Base Matrix'!I$32)*$AC$2*$AD$2*$AE$2+('Demand Base Matrix'!I$29+'Demand Base Matrix'!I$30)*$W$2*$AD$2+'Demand Base Matrix'!I$31*$W$2*$AD$2*$AE$2+'Demand Base Matrix'!I$33+'Demand Base Matrix'!I$34*$AF$2),IF($C95="Bond",(('Demand Base Matrix'!I$55+'Demand Base Matrix'!I$59)*$AC$2*$AD$2*$AE$2+('Demand Base Matrix'!I$56+'Demand Base Matrix'!I$57)*$W$2*$AD$2+'Demand Base Matrix'!I$58*$W$2*$AD$2*$AE$2+'Demand Base Matrix'!I$60+'Demand Base Matrix'!I$61*$AF$2),IF($C95="Explore",('Demand Base Matrix'!I$82*$AC$2*$AD$2*$AE$2*$AF$2+'Demand Base Matrix'!I$83*$W$2*$AC$2*$AD$2*$AE$2*$AF$2+'Demand Base Matrix'!I$84)))))</f>
        <v>10</v>
      </c>
      <c r="AM95">
        <f>IF($C95="Validate",(('Demand Base Matrix'!J$2+'Demand Base Matrix'!J$6)*$AC$2*$AD$2*$AE$2+('Demand Base Matrix'!J$3+'Demand Base Matrix'!J$4)*$W$2*$AD$2+'Demand Base Matrix'!J$5*$W$2*$AD$2*$AE$2+'Demand Base Matrix'!J$7+'Demand Base Matrix'!J$8*$AF$2),IF($C95="Integrate",(('Demand Base Matrix'!J$28+'Demand Base Matrix'!J$32)*$AC$2*$AD$2*$AE$2+('Demand Base Matrix'!J$29+'Demand Base Matrix'!J$30)*$W$2*$AD$2+'Demand Base Matrix'!J$31*$W$2*$AD$2*$AE$2+'Demand Base Matrix'!J$33+'Demand Base Matrix'!J$34*$AF$2),IF($C95="Bond",(('Demand Base Matrix'!J$55+'Demand Base Matrix'!J$59)*$AC$2*$AD$2*$AE$2+('Demand Base Matrix'!J$56+'Demand Base Matrix'!J$57)*$W$2*$AD$2+'Demand Base Matrix'!J$58*$W$2*$AD$2*$AE$2+'Demand Base Matrix'!J$60+'Demand Base Matrix'!J$61*$AF$2),IF($C95="Explore",('Demand Base Matrix'!J$82*$AC$2*$AD$2*$AE$2*$AF$2+'Demand Base Matrix'!J$83*$W$2*$AC$2*$AD$2*$AE$2*$AF$2+'Demand Base Matrix'!J$84)))))</f>
        <v>4</v>
      </c>
    </row>
    <row r="96" spans="1:39" x14ac:dyDescent="0.2">
      <c r="A96" t="s">
        <v>811</v>
      </c>
      <c r="B96" t="s">
        <v>826</v>
      </c>
      <c r="C96" t="s">
        <v>20</v>
      </c>
      <c r="D96" t="s">
        <v>36</v>
      </c>
      <c r="E96" t="s">
        <v>116</v>
      </c>
      <c r="I96" t="str">
        <f>IFERROR(INDEX('Customer 360'!F:F,MATCH(B96,'Customer 360'!A:A,0)),"-")</f>
        <v>-</v>
      </c>
      <c r="J96" s="5">
        <v>0</v>
      </c>
      <c r="K96" s="5">
        <v>0</v>
      </c>
      <c r="L96" s="4" t="s">
        <v>801</v>
      </c>
      <c r="M96" s="4" t="s">
        <v>801</v>
      </c>
      <c r="N96">
        <v>2026</v>
      </c>
      <c r="O96" s="4">
        <v>46023</v>
      </c>
      <c r="P96" t="s">
        <v>217</v>
      </c>
      <c r="Q96" s="18">
        <f t="shared" si="26"/>
        <v>46023</v>
      </c>
      <c r="R96" s="18" t="str">
        <f>IFERROR(IF(M96&lt;&gt;"",M96,IF(L96&lt;&gt;"",L96,INDEX('CSM RDD'!B:B,MATCH(B96,'CSM RDD'!A:A,0)))),"-")</f>
        <v>-</v>
      </c>
      <c r="S96" s="18">
        <f t="shared" si="27"/>
        <v>46023</v>
      </c>
      <c r="T96" s="18" t="str">
        <f t="shared" si="28"/>
        <v/>
      </c>
      <c r="U96" s="6">
        <f t="shared" si="29"/>
        <v>0</v>
      </c>
      <c r="V96" s="18">
        <f t="shared" si="20"/>
        <v>46023</v>
      </c>
      <c r="W96">
        <f>IF(U96=0,1,IF(U96&lt;='Demand Base Matrix'!$K$3,'Demand Base Matrix'!$L$3,IF(U96&lt;='Demand Base Matrix'!$K$4,'Demand Base Matrix'!$L$4,IF(U96&lt;='Demand Base Matrix'!$K$5,'Demand Base Matrix'!$L$5,IF(U96&lt;='Demand Base Matrix'!$K$6,'Demand Base Matrix'!$L$6,IF(U96&lt;='Demand Base Matrix'!$K$7,'Demand Base Matrix'!$L$7))))))</f>
        <v>1</v>
      </c>
      <c r="X96" s="4" t="e">
        <f t="shared" si="30"/>
        <v>#VALUE!</v>
      </c>
      <c r="Y96" t="str">
        <f t="shared" si="31"/>
        <v>Dx</v>
      </c>
      <c r="Z96" t="s">
        <v>685</v>
      </c>
      <c r="AA96" t="s">
        <v>685</v>
      </c>
      <c r="AB96" t="s">
        <v>685</v>
      </c>
      <c r="AC96">
        <f>IFERROR(INDEX('Demand Base Matrix'!AM:AM,MATCH(Y96,'Demand Base Matrix'!AL:AL,0)),"-")</f>
        <v>1</v>
      </c>
      <c r="AD96">
        <f>IFERROR(INDEX('Demand Base Matrix'!AO:AO,MATCH(Z96,'Demand Base Matrix'!AN:AN,0)),1)</f>
        <v>1</v>
      </c>
      <c r="AE96">
        <f>IFERROR(INDEX('Demand Base Matrix'!AQ:AQ,MATCH(AA96,'Demand Base Matrix'!AP:AP,0)),1)</f>
        <v>1</v>
      </c>
      <c r="AF96">
        <f>IFERROR(INDEX('Demand Base Matrix'!AS:AS,MATCH(AB96,'Demand Base Matrix'!AR:AR,0)),1)</f>
        <v>1</v>
      </c>
      <c r="AG96">
        <f>IF($C96="Validate",(('Demand Base Matrix'!D$2+'Demand Base Matrix'!D$6)*$AC$2*$AD$2*$AE$2+('Demand Base Matrix'!D$3+'Demand Base Matrix'!D$4)*$W$2*$AD$2+'Demand Base Matrix'!D$5*$W$2*$AD$2*$AE$2+'Demand Base Matrix'!D$7+'Demand Base Matrix'!D$8*$AF$2),IF($C96="Integrate",(('Demand Base Matrix'!D$28+'Demand Base Matrix'!D$32)*$AC$2*$AD$2*$AE$2+('Demand Base Matrix'!D$29+'Demand Base Matrix'!D$30)*$W$2*$AD$2+'Demand Base Matrix'!D$31*$W$2*$AD$2*$AE$2+'Demand Base Matrix'!D$33+'Demand Base Matrix'!D$34*$AF$2),IF($C96="Bond",(('Demand Base Matrix'!D$55+'Demand Base Matrix'!D$59)*$AC$2*$AD$2*$AE$2+('Demand Base Matrix'!D$56+'Demand Base Matrix'!D$57)*$W$2*$AD$2+'Demand Base Matrix'!D$58*$W$2*$AD$2*$AE$2+'Demand Base Matrix'!D$60+'Demand Base Matrix'!D$61*$AF$2),IF($C96="Explore",('Demand Base Matrix'!D$82*$AC$2*$AD$2*$AE$2*$AF$2+'Demand Base Matrix'!D$83*$W$2*$AC$2*$AD$2*$AE$2*$AF$2+'Demand Base Matrix'!D$84)))))</f>
        <v>15</v>
      </c>
      <c r="AH96">
        <f>IF($C96="Validate",(('Demand Base Matrix'!E$2+'Demand Base Matrix'!E$6)*$AC$2*$AD$2*$AE$2+('Demand Base Matrix'!E$3+'Demand Base Matrix'!E$4)*$W$2*$AD$2+'Demand Base Matrix'!E$5*$W$2*$AD$2*$AE$2+'Demand Base Matrix'!E$7+'Demand Base Matrix'!E$8*$AF$2),IF($C96="Integrate",(('Demand Base Matrix'!E$28+'Demand Base Matrix'!E$32)*$AC$2*$AD$2*$AE$2+('Demand Base Matrix'!E$29+'Demand Base Matrix'!E$30)*$W$2*$AD$2+'Demand Base Matrix'!E$31*$W$2*$AD$2*$AE$2+'Demand Base Matrix'!E$33+'Demand Base Matrix'!E$34*$AF$2),IF($C96="Bond",(('Demand Base Matrix'!E$55+'Demand Base Matrix'!E$59)*$AC$2*$AD$2*$AE$2+('Demand Base Matrix'!E$56+'Demand Base Matrix'!E$57)*$W$2*$AD$2+'Demand Base Matrix'!E$58*$W$2*$AD$2*$AE$2+'Demand Base Matrix'!E$60+'Demand Base Matrix'!E$61*$AF$2),IF($C96="Explore",('Demand Base Matrix'!E$82*$AC$2*$AD$2*$AE$2*$AF$2+'Demand Base Matrix'!E$83*$W$2*$AC$2*$AD$2*$AE$2*$AF$2+'Demand Base Matrix'!E$84)))))</f>
        <v>15</v>
      </c>
      <c r="AI96">
        <f>IF($C96="Validate",(('Demand Base Matrix'!F$2+'Demand Base Matrix'!F$6)*$AC$2*$AD$2*$AE$2+('Demand Base Matrix'!F$3+'Demand Base Matrix'!F$4)*$W$2*$AD$2+'Demand Base Matrix'!F$5*$W$2*$AD$2*$AE$2+'Demand Base Matrix'!F$7+'Demand Base Matrix'!F$8*$AF$2),IF($C96="Integrate",(('Demand Base Matrix'!F$28+'Demand Base Matrix'!F$32)*$AC$2*$AD$2*$AE$2+('Demand Base Matrix'!F$29+'Demand Base Matrix'!F$30)*$W$2*$AD$2+'Demand Base Matrix'!F$31*$W$2*$AD$2*$AE$2+'Demand Base Matrix'!F$33+'Demand Base Matrix'!F$34*$AF$2),IF($C96="Bond",(('Demand Base Matrix'!F$55+'Demand Base Matrix'!F$59)*$AC$2*$AD$2*$AE$2+('Demand Base Matrix'!F$56+'Demand Base Matrix'!F$57)*$W$2*$AD$2+'Demand Base Matrix'!F$58*$W$2*$AD$2*$AE$2+'Demand Base Matrix'!F$60+'Demand Base Matrix'!F$61*$AF$2),IF($C96="Explore",('Demand Base Matrix'!F$82*$AC$2*$AD$2*$AE$2*$AF$2+'Demand Base Matrix'!F$83*$W$2*$AC$2*$AD$2*$AE$2*$AF$2+'Demand Base Matrix'!F$84)))))</f>
        <v>7</v>
      </c>
      <c r="AJ96">
        <f>IF($C96="Validate",(('Demand Base Matrix'!G$2+'Demand Base Matrix'!G$6)*$AC$2*$AD$2*$AE$2+('Demand Base Matrix'!G$3+'Demand Base Matrix'!G$4)*$W$2*$AD$2+'Demand Base Matrix'!G$5*$W$2*$AD$2*$AE$2+'Demand Base Matrix'!G$7+'Demand Base Matrix'!G$8*$AF$2),IF($C96="Integrate",(('Demand Base Matrix'!G$28+'Demand Base Matrix'!G$32)*$AC$2*$AD$2*$AE$2+('Demand Base Matrix'!G$29+'Demand Base Matrix'!G$30)*$W$2*$AD$2+'Demand Base Matrix'!G$31*$W$2*$AD$2*$AE$2+'Demand Base Matrix'!G$33+'Demand Base Matrix'!G$34*$AF$2),IF($C96="Bond",(('Demand Base Matrix'!G$55+'Demand Base Matrix'!G$59)*$AC$2*$AD$2*$AE$2+('Demand Base Matrix'!G$56+'Demand Base Matrix'!G$57)*$W$2*$AD$2+'Demand Base Matrix'!G$58*$W$2*$AD$2*$AE$2+'Demand Base Matrix'!G$60+'Demand Base Matrix'!G$61*$AF$2),IF($C96="Explore",('Demand Base Matrix'!G$82*$AC$2*$AD$2*$AE$2*$AF$2+'Demand Base Matrix'!G$83*$W$2*$AC$2*$AD$2*$AE$2*$AF$2+'Demand Base Matrix'!G$84)))))</f>
        <v>40</v>
      </c>
      <c r="AK96">
        <f>IF($C96="Validate",(('Demand Base Matrix'!H$2+'Demand Base Matrix'!H$6)*$AC$2*$AD$2*$AE$2+('Demand Base Matrix'!H$3+'Demand Base Matrix'!H$4)*$W$2*$AD$2+'Demand Base Matrix'!H$5*$W$2*$AD$2*$AE$2+'Demand Base Matrix'!H$7+'Demand Base Matrix'!H$8*$AF$2),IF($C96="Integrate",(('Demand Base Matrix'!H$28+'Demand Base Matrix'!H$32)*$AC$2*$AD$2*$AE$2+('Demand Base Matrix'!H$29+'Demand Base Matrix'!H$30)*$W$2*$AD$2+'Demand Base Matrix'!H$31*$W$2*$AD$2*$AE$2+'Demand Base Matrix'!H$33+'Demand Base Matrix'!H$34*$AF$2),IF($C96="Bond",(('Demand Base Matrix'!H$55+'Demand Base Matrix'!H$59)*$AC$2*$AD$2*$AE$2+('Demand Base Matrix'!H$56+'Demand Base Matrix'!H$57)*$W$2*$AD$2+'Demand Base Matrix'!H$58*$W$2*$AD$2*$AE$2+'Demand Base Matrix'!H$60+'Demand Base Matrix'!H$61*$AF$2),IF($C96="Explore",('Demand Base Matrix'!H$82*$AC$2*$AD$2*$AE$2*$AF$2+'Demand Base Matrix'!H$83*$W$2*$AC$2*$AD$2*$AE$2*$AF$2+'Demand Base Matrix'!H$84)))))</f>
        <v>60</v>
      </c>
      <c r="AL96">
        <f>IF($C96="Validate",(('Demand Base Matrix'!I$2+'Demand Base Matrix'!I$6)*$AC$2*$AD$2*$AE$2+('Demand Base Matrix'!I$3+'Demand Base Matrix'!I$4)*$W$2*$AD$2+'Demand Base Matrix'!I$5*$W$2*$AD$2*$AE$2+'Demand Base Matrix'!I$7+'Demand Base Matrix'!I$8*$AF$2),IF($C96="Integrate",(('Demand Base Matrix'!I$28+'Demand Base Matrix'!I$32)*$AC$2*$AD$2*$AE$2+('Demand Base Matrix'!I$29+'Demand Base Matrix'!I$30)*$W$2*$AD$2+'Demand Base Matrix'!I$31*$W$2*$AD$2*$AE$2+'Demand Base Matrix'!I$33+'Demand Base Matrix'!I$34*$AF$2),IF($C96="Bond",(('Demand Base Matrix'!I$55+'Demand Base Matrix'!I$59)*$AC$2*$AD$2*$AE$2+('Demand Base Matrix'!I$56+'Demand Base Matrix'!I$57)*$W$2*$AD$2+'Demand Base Matrix'!I$58*$W$2*$AD$2*$AE$2+'Demand Base Matrix'!I$60+'Demand Base Matrix'!I$61*$AF$2),IF($C96="Explore",('Demand Base Matrix'!I$82*$AC$2*$AD$2*$AE$2*$AF$2+'Demand Base Matrix'!I$83*$W$2*$AC$2*$AD$2*$AE$2*$AF$2+'Demand Base Matrix'!I$84)))))</f>
        <v>10</v>
      </c>
      <c r="AM96">
        <f>IF($C96="Validate",(('Demand Base Matrix'!J$2+'Demand Base Matrix'!J$6)*$AC$2*$AD$2*$AE$2+('Demand Base Matrix'!J$3+'Demand Base Matrix'!J$4)*$W$2*$AD$2+'Demand Base Matrix'!J$5*$W$2*$AD$2*$AE$2+'Demand Base Matrix'!J$7+'Demand Base Matrix'!J$8*$AF$2),IF($C96="Integrate",(('Demand Base Matrix'!J$28+'Demand Base Matrix'!J$32)*$AC$2*$AD$2*$AE$2+('Demand Base Matrix'!J$29+'Demand Base Matrix'!J$30)*$W$2*$AD$2+'Demand Base Matrix'!J$31*$W$2*$AD$2*$AE$2+'Demand Base Matrix'!J$33+'Demand Base Matrix'!J$34*$AF$2),IF($C96="Bond",(('Demand Base Matrix'!J$55+'Demand Base Matrix'!J$59)*$AC$2*$AD$2*$AE$2+('Demand Base Matrix'!J$56+'Demand Base Matrix'!J$57)*$W$2*$AD$2+'Demand Base Matrix'!J$58*$W$2*$AD$2*$AE$2+'Demand Base Matrix'!J$60+'Demand Base Matrix'!J$61*$AF$2),IF($C96="Explore",('Demand Base Matrix'!J$82*$AC$2*$AD$2*$AE$2*$AF$2+'Demand Base Matrix'!J$83*$W$2*$AC$2*$AD$2*$AE$2*$AF$2+'Demand Base Matrix'!J$84)))))</f>
        <v>4</v>
      </c>
    </row>
    <row r="97" spans="1:39" x14ac:dyDescent="0.2">
      <c r="A97" t="s">
        <v>813</v>
      </c>
      <c r="B97" t="s">
        <v>635</v>
      </c>
      <c r="C97" t="s">
        <v>20</v>
      </c>
      <c r="D97" t="s">
        <v>60</v>
      </c>
      <c r="E97" t="s">
        <v>115</v>
      </c>
      <c r="F97" t="s">
        <v>189</v>
      </c>
      <c r="I97" t="str">
        <f>IFERROR(INDEX('Customer 360'!F:F,MATCH(B97,'Customer 360'!A:A,0)),"-")</f>
        <v>B</v>
      </c>
      <c r="J97" s="5">
        <v>1018</v>
      </c>
      <c r="K97" s="5">
        <v>0</v>
      </c>
      <c r="L97" s="4">
        <v>46157</v>
      </c>
      <c r="M97" s="4">
        <v>46157</v>
      </c>
      <c r="N97">
        <v>2026</v>
      </c>
      <c r="O97" s="4">
        <v>46023</v>
      </c>
      <c r="P97" t="s">
        <v>217</v>
      </c>
      <c r="Q97" s="18">
        <f t="shared" si="26"/>
        <v>46023</v>
      </c>
      <c r="R97" s="18">
        <f>IFERROR(IF(M97&lt;&gt;"",M97,IF(L97&lt;&gt;"",L97,INDEX('CSM RDD'!B:B,MATCH(B97,'CSM RDD'!A:A,0)))),"-")</f>
        <v>46157</v>
      </c>
      <c r="S97" s="18">
        <f t="shared" si="27"/>
        <v>46023</v>
      </c>
      <c r="T97" s="18">
        <f t="shared" si="28"/>
        <v>46143</v>
      </c>
      <c r="U97" s="6">
        <f t="shared" si="29"/>
        <v>1018</v>
      </c>
      <c r="V97" s="18">
        <f t="shared" si="20"/>
        <v>46023</v>
      </c>
      <c r="W97">
        <f>IF(U97=0,1,IF(U97&lt;='Demand Base Matrix'!$K$3,'Demand Base Matrix'!$L$3,IF(U97&lt;='Demand Base Matrix'!$K$4,'Demand Base Matrix'!$L$4,IF(U97&lt;='Demand Base Matrix'!$K$5,'Demand Base Matrix'!$L$5,IF(U97&lt;='Demand Base Matrix'!$K$6,'Demand Base Matrix'!$L$6,IF(U97&lt;='Demand Base Matrix'!$K$7,'Demand Base Matrix'!$L$7))))))</f>
        <v>1</v>
      </c>
      <c r="X97" s="4">
        <f t="shared" si="30"/>
        <v>46143</v>
      </c>
      <c r="Y97" t="str">
        <f t="shared" si="31"/>
        <v>Dx</v>
      </c>
      <c r="Z97" t="s">
        <v>685</v>
      </c>
      <c r="AA97" t="s">
        <v>685</v>
      </c>
      <c r="AB97" t="s">
        <v>685</v>
      </c>
      <c r="AC97">
        <f>IFERROR(INDEX('Demand Base Matrix'!AM:AM,MATCH(Y97,'Demand Base Matrix'!AL:AL,0)),"-")</f>
        <v>1</v>
      </c>
      <c r="AD97">
        <f>IFERROR(INDEX('Demand Base Matrix'!AO:AO,MATCH(Z97,'Demand Base Matrix'!AN:AN,0)),1)</f>
        <v>1</v>
      </c>
      <c r="AE97">
        <f>IFERROR(INDEX('Demand Base Matrix'!AQ:AQ,MATCH(AA97,'Demand Base Matrix'!AP:AP,0)),1)</f>
        <v>1</v>
      </c>
      <c r="AF97">
        <f>IFERROR(INDEX('Demand Base Matrix'!AS:AS,MATCH(AB97,'Demand Base Matrix'!AR:AR,0)),1)</f>
        <v>1</v>
      </c>
      <c r="AG97">
        <f>IF($C97="Validate",(('Demand Base Matrix'!D$2+'Demand Base Matrix'!D$6)*$AC$2*$AD$2*$AE$2+('Demand Base Matrix'!D$3+'Demand Base Matrix'!D$4)*$W$2*$AD$2+'Demand Base Matrix'!D$5*$W$2*$AD$2*$AE$2+'Demand Base Matrix'!D$7+'Demand Base Matrix'!D$8*$AF$2),IF($C97="Integrate",(('Demand Base Matrix'!D$28+'Demand Base Matrix'!D$32)*$AC$2*$AD$2*$AE$2+('Demand Base Matrix'!D$29+'Demand Base Matrix'!D$30)*$W$2*$AD$2+'Demand Base Matrix'!D$31*$W$2*$AD$2*$AE$2+'Demand Base Matrix'!D$33+'Demand Base Matrix'!D$34*$AF$2),IF($C97="Bond",(('Demand Base Matrix'!D$55+'Demand Base Matrix'!D$59)*$AC$2*$AD$2*$AE$2+('Demand Base Matrix'!D$56+'Demand Base Matrix'!D$57)*$W$2*$AD$2+'Demand Base Matrix'!D$58*$W$2*$AD$2*$AE$2+'Demand Base Matrix'!D$60+'Demand Base Matrix'!D$61*$AF$2),IF($C97="Explore",('Demand Base Matrix'!D$82*$AC$2*$AD$2*$AE$2*$AF$2+'Demand Base Matrix'!D$83*$W$2*$AC$2*$AD$2*$AE$2*$AF$2+'Demand Base Matrix'!D$84)))))</f>
        <v>15</v>
      </c>
      <c r="AH97">
        <f>IF($C97="Validate",(('Demand Base Matrix'!E$2+'Demand Base Matrix'!E$6)*$AC$2*$AD$2*$AE$2+('Demand Base Matrix'!E$3+'Demand Base Matrix'!E$4)*$W$2*$AD$2+'Demand Base Matrix'!E$5*$W$2*$AD$2*$AE$2+'Demand Base Matrix'!E$7+'Demand Base Matrix'!E$8*$AF$2),IF($C97="Integrate",(('Demand Base Matrix'!E$28+'Demand Base Matrix'!E$32)*$AC$2*$AD$2*$AE$2+('Demand Base Matrix'!E$29+'Demand Base Matrix'!E$30)*$W$2*$AD$2+'Demand Base Matrix'!E$31*$W$2*$AD$2*$AE$2+'Demand Base Matrix'!E$33+'Demand Base Matrix'!E$34*$AF$2),IF($C97="Bond",(('Demand Base Matrix'!E$55+'Demand Base Matrix'!E$59)*$AC$2*$AD$2*$AE$2+('Demand Base Matrix'!E$56+'Demand Base Matrix'!E$57)*$W$2*$AD$2+'Demand Base Matrix'!E$58*$W$2*$AD$2*$AE$2+'Demand Base Matrix'!E$60+'Demand Base Matrix'!E$61*$AF$2),IF($C97="Explore",('Demand Base Matrix'!E$82*$AC$2*$AD$2*$AE$2*$AF$2+'Demand Base Matrix'!E$83*$W$2*$AC$2*$AD$2*$AE$2*$AF$2+'Demand Base Matrix'!E$84)))))</f>
        <v>15</v>
      </c>
      <c r="AI97">
        <f>IF($C97="Validate",(('Demand Base Matrix'!F$2+'Demand Base Matrix'!F$6)*$AC$2*$AD$2*$AE$2+('Demand Base Matrix'!F$3+'Demand Base Matrix'!F$4)*$W$2*$AD$2+'Demand Base Matrix'!F$5*$W$2*$AD$2*$AE$2+'Demand Base Matrix'!F$7+'Demand Base Matrix'!F$8*$AF$2),IF($C97="Integrate",(('Demand Base Matrix'!F$28+'Demand Base Matrix'!F$32)*$AC$2*$AD$2*$AE$2+('Demand Base Matrix'!F$29+'Demand Base Matrix'!F$30)*$W$2*$AD$2+'Demand Base Matrix'!F$31*$W$2*$AD$2*$AE$2+'Demand Base Matrix'!F$33+'Demand Base Matrix'!F$34*$AF$2),IF($C97="Bond",(('Demand Base Matrix'!F$55+'Demand Base Matrix'!F$59)*$AC$2*$AD$2*$AE$2+('Demand Base Matrix'!F$56+'Demand Base Matrix'!F$57)*$W$2*$AD$2+'Demand Base Matrix'!F$58*$W$2*$AD$2*$AE$2+'Demand Base Matrix'!F$60+'Demand Base Matrix'!F$61*$AF$2),IF($C97="Explore",('Demand Base Matrix'!F$82*$AC$2*$AD$2*$AE$2*$AF$2+'Demand Base Matrix'!F$83*$W$2*$AC$2*$AD$2*$AE$2*$AF$2+'Demand Base Matrix'!F$84)))))</f>
        <v>7</v>
      </c>
      <c r="AJ97">
        <f>IF($C97="Validate",(('Demand Base Matrix'!G$2+'Demand Base Matrix'!G$6)*$AC$2*$AD$2*$AE$2+('Demand Base Matrix'!G$3+'Demand Base Matrix'!G$4)*$W$2*$AD$2+'Demand Base Matrix'!G$5*$W$2*$AD$2*$AE$2+'Demand Base Matrix'!G$7+'Demand Base Matrix'!G$8*$AF$2),IF($C97="Integrate",(('Demand Base Matrix'!G$28+'Demand Base Matrix'!G$32)*$AC$2*$AD$2*$AE$2+('Demand Base Matrix'!G$29+'Demand Base Matrix'!G$30)*$W$2*$AD$2+'Demand Base Matrix'!G$31*$W$2*$AD$2*$AE$2+'Demand Base Matrix'!G$33+'Demand Base Matrix'!G$34*$AF$2),IF($C97="Bond",(('Demand Base Matrix'!G$55+'Demand Base Matrix'!G$59)*$AC$2*$AD$2*$AE$2+('Demand Base Matrix'!G$56+'Demand Base Matrix'!G$57)*$W$2*$AD$2+'Demand Base Matrix'!G$58*$W$2*$AD$2*$AE$2+'Demand Base Matrix'!G$60+'Demand Base Matrix'!G$61*$AF$2),IF($C97="Explore",('Demand Base Matrix'!G$82*$AC$2*$AD$2*$AE$2*$AF$2+'Demand Base Matrix'!G$83*$W$2*$AC$2*$AD$2*$AE$2*$AF$2+'Demand Base Matrix'!G$84)))))</f>
        <v>40</v>
      </c>
      <c r="AK97">
        <f>IF($C97="Validate",(('Demand Base Matrix'!H$2+'Demand Base Matrix'!H$6)*$AC$2*$AD$2*$AE$2+('Demand Base Matrix'!H$3+'Demand Base Matrix'!H$4)*$W$2*$AD$2+'Demand Base Matrix'!H$5*$W$2*$AD$2*$AE$2+'Demand Base Matrix'!H$7+'Demand Base Matrix'!H$8*$AF$2),IF($C97="Integrate",(('Demand Base Matrix'!H$28+'Demand Base Matrix'!H$32)*$AC$2*$AD$2*$AE$2+('Demand Base Matrix'!H$29+'Demand Base Matrix'!H$30)*$W$2*$AD$2+'Demand Base Matrix'!H$31*$W$2*$AD$2*$AE$2+'Demand Base Matrix'!H$33+'Demand Base Matrix'!H$34*$AF$2),IF($C97="Bond",(('Demand Base Matrix'!H$55+'Demand Base Matrix'!H$59)*$AC$2*$AD$2*$AE$2+('Demand Base Matrix'!H$56+'Demand Base Matrix'!H$57)*$W$2*$AD$2+'Demand Base Matrix'!H$58*$W$2*$AD$2*$AE$2+'Demand Base Matrix'!H$60+'Demand Base Matrix'!H$61*$AF$2),IF($C97="Explore",('Demand Base Matrix'!H$82*$AC$2*$AD$2*$AE$2*$AF$2+'Demand Base Matrix'!H$83*$W$2*$AC$2*$AD$2*$AE$2*$AF$2+'Demand Base Matrix'!H$84)))))</f>
        <v>60</v>
      </c>
      <c r="AL97">
        <f>IF($C97="Validate",(('Demand Base Matrix'!I$2+'Demand Base Matrix'!I$6)*$AC$2*$AD$2*$AE$2+('Demand Base Matrix'!I$3+'Demand Base Matrix'!I$4)*$W$2*$AD$2+'Demand Base Matrix'!I$5*$W$2*$AD$2*$AE$2+'Demand Base Matrix'!I$7+'Demand Base Matrix'!I$8*$AF$2),IF($C97="Integrate",(('Demand Base Matrix'!I$28+'Demand Base Matrix'!I$32)*$AC$2*$AD$2*$AE$2+('Demand Base Matrix'!I$29+'Demand Base Matrix'!I$30)*$W$2*$AD$2+'Demand Base Matrix'!I$31*$W$2*$AD$2*$AE$2+'Demand Base Matrix'!I$33+'Demand Base Matrix'!I$34*$AF$2),IF($C97="Bond",(('Demand Base Matrix'!I$55+'Demand Base Matrix'!I$59)*$AC$2*$AD$2*$AE$2+('Demand Base Matrix'!I$56+'Demand Base Matrix'!I$57)*$W$2*$AD$2+'Demand Base Matrix'!I$58*$W$2*$AD$2*$AE$2+'Demand Base Matrix'!I$60+'Demand Base Matrix'!I$61*$AF$2),IF($C97="Explore",('Demand Base Matrix'!I$82*$AC$2*$AD$2*$AE$2*$AF$2+'Demand Base Matrix'!I$83*$W$2*$AC$2*$AD$2*$AE$2*$AF$2+'Demand Base Matrix'!I$84)))))</f>
        <v>10</v>
      </c>
      <c r="AM97">
        <f>IF($C97="Validate",(('Demand Base Matrix'!J$2+'Demand Base Matrix'!J$6)*$AC$2*$AD$2*$AE$2+('Demand Base Matrix'!J$3+'Demand Base Matrix'!J$4)*$W$2*$AD$2+'Demand Base Matrix'!J$5*$W$2*$AD$2*$AE$2+'Demand Base Matrix'!J$7+'Demand Base Matrix'!J$8*$AF$2),IF($C97="Integrate",(('Demand Base Matrix'!J$28+'Demand Base Matrix'!J$32)*$AC$2*$AD$2*$AE$2+('Demand Base Matrix'!J$29+'Demand Base Matrix'!J$30)*$W$2*$AD$2+'Demand Base Matrix'!J$31*$W$2*$AD$2*$AE$2+'Demand Base Matrix'!J$33+'Demand Base Matrix'!J$34*$AF$2),IF($C97="Bond",(('Demand Base Matrix'!J$55+'Demand Base Matrix'!J$59)*$AC$2*$AD$2*$AE$2+('Demand Base Matrix'!J$56+'Demand Base Matrix'!J$57)*$W$2*$AD$2+'Demand Base Matrix'!J$58*$W$2*$AD$2*$AE$2+'Demand Base Matrix'!J$60+'Demand Base Matrix'!J$61*$AF$2),IF($C97="Explore",('Demand Base Matrix'!J$82*$AC$2*$AD$2*$AE$2*$AF$2+'Demand Base Matrix'!J$83*$W$2*$AC$2*$AD$2*$AE$2*$AF$2+'Demand Base Matrix'!J$84)))))</f>
        <v>4</v>
      </c>
    </row>
    <row r="98" spans="1:39" x14ac:dyDescent="0.2">
      <c r="A98" t="s">
        <v>823</v>
      </c>
      <c r="B98" t="s">
        <v>94</v>
      </c>
      <c r="C98" t="s">
        <v>32</v>
      </c>
      <c r="D98" t="s">
        <v>60</v>
      </c>
      <c r="E98" t="s">
        <v>207</v>
      </c>
      <c r="F98" t="s">
        <v>185</v>
      </c>
      <c r="I98" t="str">
        <f>IFERROR(INDEX('Customer 360'!F:F,MATCH(B98,'Customer 360'!A:A,0)),"-")</f>
        <v>A</v>
      </c>
      <c r="J98" s="5">
        <v>13000</v>
      </c>
      <c r="K98" s="5">
        <v>0</v>
      </c>
      <c r="L98" s="4" t="s">
        <v>801</v>
      </c>
      <c r="M98" s="4" t="s">
        <v>801</v>
      </c>
      <c r="N98">
        <v>2026</v>
      </c>
      <c r="O98" s="4">
        <v>46023</v>
      </c>
      <c r="P98" t="s">
        <v>217</v>
      </c>
      <c r="Q98" s="18">
        <f t="shared" si="26"/>
        <v>46023</v>
      </c>
      <c r="R98" s="18">
        <f>IFERROR(IF(M98&lt;&gt;"",M98,IF(L98&lt;&gt;"",L98,INDEX('CSM RDD'!B:B,MATCH(B98,'CSM RDD'!A:A,0)))),"-")</f>
        <v>45778</v>
      </c>
      <c r="S98" s="18">
        <f t="shared" si="27"/>
        <v>46023</v>
      </c>
      <c r="T98" s="18">
        <f t="shared" si="28"/>
        <v>45778</v>
      </c>
      <c r="U98" s="6">
        <f t="shared" si="29"/>
        <v>13000</v>
      </c>
      <c r="V98" s="18">
        <f t="shared" ref="V98:V109" si="32">IF(C98&lt;&gt;"Validate",DATE(2026,3,1),O98)</f>
        <v>46082</v>
      </c>
      <c r="W98">
        <f>IF(U98=0,1,IF(U98&lt;='Demand Base Matrix'!$K$3,'Demand Base Matrix'!$L$3,IF(U98&lt;='Demand Base Matrix'!$K$4,'Demand Base Matrix'!$L$4,IF(U98&lt;='Demand Base Matrix'!$K$5,'Demand Base Matrix'!$L$5,IF(U98&lt;='Demand Base Matrix'!$K$6,'Demand Base Matrix'!$L$6,IF(U98&lt;='Demand Base Matrix'!$K$7,'Demand Base Matrix'!$L$7))))))</f>
        <v>1.5</v>
      </c>
      <c r="X98" s="4">
        <f t="shared" si="30"/>
        <v>45778</v>
      </c>
      <c r="Y98" t="str">
        <f t="shared" si="31"/>
        <v>Dx</v>
      </c>
      <c r="Z98" t="s">
        <v>685</v>
      </c>
      <c r="AA98" t="s">
        <v>685</v>
      </c>
      <c r="AB98" t="s">
        <v>685</v>
      </c>
      <c r="AC98">
        <f>IFERROR(INDEX('Demand Base Matrix'!AM:AM,MATCH(Y98,'Demand Base Matrix'!AL:AL,0)),"-")</f>
        <v>1</v>
      </c>
      <c r="AD98">
        <f>IFERROR(INDEX('Demand Base Matrix'!AO:AO,MATCH(Z98,'Demand Base Matrix'!AN:AN,0)),1)</f>
        <v>1</v>
      </c>
      <c r="AE98">
        <f>IFERROR(INDEX('Demand Base Matrix'!AQ:AQ,MATCH(AA98,'Demand Base Matrix'!AP:AP,0)),1)</f>
        <v>1</v>
      </c>
      <c r="AF98">
        <f>IFERROR(INDEX('Demand Base Matrix'!AS:AS,MATCH(AB98,'Demand Base Matrix'!AR:AR,0)),1)</f>
        <v>1</v>
      </c>
      <c r="AG98">
        <f>IF($C98="Validate",(('Demand Base Matrix'!D$2+'Demand Base Matrix'!D$6)*$AC$2*$AD$2*$AE$2+('Demand Base Matrix'!D$3+'Demand Base Matrix'!D$4)*$W$2*$AD$2+'Demand Base Matrix'!D$5*$W$2*$AD$2*$AE$2+'Demand Base Matrix'!D$7+'Demand Base Matrix'!D$8*$AF$2),IF($C98="Integrate",(('Demand Base Matrix'!D$28+'Demand Base Matrix'!D$32)*$AC$2*$AD$2*$AE$2+('Demand Base Matrix'!D$29+'Demand Base Matrix'!D$30)*$W$2*$AD$2+'Demand Base Matrix'!D$31*$W$2*$AD$2*$AE$2+'Demand Base Matrix'!D$33+'Demand Base Matrix'!D$34*$AF$2),IF($C98="Bond",(('Demand Base Matrix'!D$55+'Demand Base Matrix'!D$59)*$AC$2*$AD$2*$AE$2+('Demand Base Matrix'!D$56+'Demand Base Matrix'!D$57)*$W$2*$AD$2+'Demand Base Matrix'!D$58*$W$2*$AD$2*$AE$2+'Demand Base Matrix'!D$60+'Demand Base Matrix'!D$61*$AF$2),IF($C98="Explore",('Demand Base Matrix'!D$82*$AC$2*$AD$2*$AE$2*$AF$2+'Demand Base Matrix'!D$83*$W$2*$AC$2*$AD$2*$AE$2*$AF$2+'Demand Base Matrix'!D$84)))))</f>
        <v>10</v>
      </c>
      <c r="AH98">
        <f>IF($C98="Validate",(('Demand Base Matrix'!E$2+'Demand Base Matrix'!E$6)*$AC$2*$AD$2*$AE$2+('Demand Base Matrix'!E$3+'Demand Base Matrix'!E$4)*$W$2*$AD$2+'Demand Base Matrix'!E$5*$W$2*$AD$2*$AE$2+'Demand Base Matrix'!E$7+'Demand Base Matrix'!E$8*$AF$2),IF($C98="Integrate",(('Demand Base Matrix'!E$28+'Demand Base Matrix'!E$32)*$AC$2*$AD$2*$AE$2+('Demand Base Matrix'!E$29+'Demand Base Matrix'!E$30)*$W$2*$AD$2+'Demand Base Matrix'!E$31*$W$2*$AD$2*$AE$2+'Demand Base Matrix'!E$33+'Demand Base Matrix'!E$34*$AF$2),IF($C98="Bond",(('Demand Base Matrix'!E$55+'Demand Base Matrix'!E$59)*$AC$2*$AD$2*$AE$2+('Demand Base Matrix'!E$56+'Demand Base Matrix'!E$57)*$W$2*$AD$2+'Demand Base Matrix'!E$58*$W$2*$AD$2*$AE$2+'Demand Base Matrix'!E$60+'Demand Base Matrix'!E$61*$AF$2),IF($C98="Explore",('Demand Base Matrix'!E$82*$AC$2*$AD$2*$AE$2*$AF$2+'Demand Base Matrix'!E$83*$W$2*$AC$2*$AD$2*$AE$2*$AF$2+'Demand Base Matrix'!E$84)))))</f>
        <v>20</v>
      </c>
      <c r="AI98">
        <f>IF($C98="Validate",(('Demand Base Matrix'!F$2+'Demand Base Matrix'!F$6)*$AC$2*$AD$2*$AE$2+('Demand Base Matrix'!F$3+'Demand Base Matrix'!F$4)*$W$2*$AD$2+'Demand Base Matrix'!F$5*$W$2*$AD$2*$AE$2+'Demand Base Matrix'!F$7+'Demand Base Matrix'!F$8*$AF$2),IF($C98="Integrate",(('Demand Base Matrix'!F$28+'Demand Base Matrix'!F$32)*$AC$2*$AD$2*$AE$2+('Demand Base Matrix'!F$29+'Demand Base Matrix'!F$30)*$W$2*$AD$2+'Demand Base Matrix'!F$31*$W$2*$AD$2*$AE$2+'Demand Base Matrix'!F$33+'Demand Base Matrix'!F$34*$AF$2),IF($C98="Bond",(('Demand Base Matrix'!F$55+'Demand Base Matrix'!F$59)*$AC$2*$AD$2*$AE$2+('Demand Base Matrix'!F$56+'Demand Base Matrix'!F$57)*$W$2*$AD$2+'Demand Base Matrix'!F$58*$W$2*$AD$2*$AE$2+'Demand Base Matrix'!F$60+'Demand Base Matrix'!F$61*$AF$2),IF($C98="Explore",('Demand Base Matrix'!F$82*$AC$2*$AD$2*$AE$2*$AF$2+'Demand Base Matrix'!F$83*$W$2*$AC$2*$AD$2*$AE$2*$AF$2+'Demand Base Matrix'!F$84)))))</f>
        <v>10</v>
      </c>
      <c r="AJ98">
        <f>IF($C98="Validate",(('Demand Base Matrix'!G$2+'Demand Base Matrix'!G$6)*$AC$2*$AD$2*$AE$2+('Demand Base Matrix'!G$3+'Demand Base Matrix'!G$4)*$W$2*$AD$2+'Demand Base Matrix'!G$5*$W$2*$AD$2*$AE$2+'Demand Base Matrix'!G$7+'Demand Base Matrix'!G$8*$AF$2),IF($C98="Integrate",(('Demand Base Matrix'!G$28+'Demand Base Matrix'!G$32)*$AC$2*$AD$2*$AE$2+('Demand Base Matrix'!G$29+'Demand Base Matrix'!G$30)*$W$2*$AD$2+'Demand Base Matrix'!G$31*$W$2*$AD$2*$AE$2+'Demand Base Matrix'!G$33+'Demand Base Matrix'!G$34*$AF$2),IF($C98="Bond",(('Demand Base Matrix'!G$55+'Demand Base Matrix'!G$59)*$AC$2*$AD$2*$AE$2+('Demand Base Matrix'!G$56+'Demand Base Matrix'!G$57)*$W$2*$AD$2+'Demand Base Matrix'!G$58*$W$2*$AD$2*$AE$2+'Demand Base Matrix'!G$60+'Demand Base Matrix'!G$61*$AF$2),IF($C98="Explore",('Demand Base Matrix'!G$82*$AC$2*$AD$2*$AE$2*$AF$2+'Demand Base Matrix'!G$83*$W$2*$AC$2*$AD$2*$AE$2*$AF$2+'Demand Base Matrix'!G$84)))))</f>
        <v>60</v>
      </c>
      <c r="AK98">
        <f>IF($C98="Validate",(('Demand Base Matrix'!H$2+'Demand Base Matrix'!H$6)*$AC$2*$AD$2*$AE$2+('Demand Base Matrix'!H$3+'Demand Base Matrix'!H$4)*$W$2*$AD$2+'Demand Base Matrix'!H$5*$W$2*$AD$2*$AE$2+'Demand Base Matrix'!H$7+'Demand Base Matrix'!H$8*$AF$2),IF($C98="Integrate",(('Demand Base Matrix'!H$28+'Demand Base Matrix'!H$32)*$AC$2*$AD$2*$AE$2+('Demand Base Matrix'!H$29+'Demand Base Matrix'!H$30)*$W$2*$AD$2+'Demand Base Matrix'!H$31*$W$2*$AD$2*$AE$2+'Demand Base Matrix'!H$33+'Demand Base Matrix'!H$34*$AF$2),IF($C98="Bond",(('Demand Base Matrix'!H$55+'Demand Base Matrix'!H$59)*$AC$2*$AD$2*$AE$2+('Demand Base Matrix'!H$56+'Demand Base Matrix'!H$57)*$W$2*$AD$2+'Demand Base Matrix'!H$58*$W$2*$AD$2*$AE$2+'Demand Base Matrix'!H$60+'Demand Base Matrix'!H$61*$AF$2),IF($C98="Explore",('Demand Base Matrix'!H$82*$AC$2*$AD$2*$AE$2*$AF$2+'Demand Base Matrix'!H$83*$W$2*$AC$2*$AD$2*$AE$2*$AF$2+'Demand Base Matrix'!H$84)))))</f>
        <v>28</v>
      </c>
      <c r="AL98">
        <f>IF($C98="Validate",(('Demand Base Matrix'!I$2+'Demand Base Matrix'!I$6)*$AC$2*$AD$2*$AE$2+('Demand Base Matrix'!I$3+'Demand Base Matrix'!I$4)*$W$2*$AD$2+'Demand Base Matrix'!I$5*$W$2*$AD$2*$AE$2+'Demand Base Matrix'!I$7+'Demand Base Matrix'!I$8*$AF$2),IF($C98="Integrate",(('Demand Base Matrix'!I$28+'Demand Base Matrix'!I$32)*$AC$2*$AD$2*$AE$2+('Demand Base Matrix'!I$29+'Demand Base Matrix'!I$30)*$W$2*$AD$2+'Demand Base Matrix'!I$31*$W$2*$AD$2*$AE$2+'Demand Base Matrix'!I$33+'Demand Base Matrix'!I$34*$AF$2),IF($C98="Bond",(('Demand Base Matrix'!I$55+'Demand Base Matrix'!I$59)*$AC$2*$AD$2*$AE$2+('Demand Base Matrix'!I$56+'Demand Base Matrix'!I$57)*$W$2*$AD$2+'Demand Base Matrix'!I$58*$W$2*$AD$2*$AE$2+'Demand Base Matrix'!I$60+'Demand Base Matrix'!I$61*$AF$2),IF($C98="Explore",('Demand Base Matrix'!I$82*$AC$2*$AD$2*$AE$2*$AF$2+'Demand Base Matrix'!I$83*$W$2*$AC$2*$AD$2*$AE$2*$AF$2+'Demand Base Matrix'!I$84)))))</f>
        <v>8</v>
      </c>
      <c r="AM98">
        <f>IF($C98="Validate",(('Demand Base Matrix'!J$2+'Demand Base Matrix'!J$6)*$AC$2*$AD$2*$AE$2+('Demand Base Matrix'!J$3+'Demand Base Matrix'!J$4)*$W$2*$AD$2+'Demand Base Matrix'!J$5*$W$2*$AD$2*$AE$2+'Demand Base Matrix'!J$7+'Demand Base Matrix'!J$8*$AF$2),IF($C98="Integrate",(('Demand Base Matrix'!J$28+'Demand Base Matrix'!J$32)*$AC$2*$AD$2*$AE$2+('Demand Base Matrix'!J$29+'Demand Base Matrix'!J$30)*$W$2*$AD$2+'Demand Base Matrix'!J$31*$W$2*$AD$2*$AE$2+'Demand Base Matrix'!J$33+'Demand Base Matrix'!J$34*$AF$2),IF($C98="Bond",(('Demand Base Matrix'!J$55+'Demand Base Matrix'!J$59)*$AC$2*$AD$2*$AE$2+('Demand Base Matrix'!J$56+'Demand Base Matrix'!J$57)*$W$2*$AD$2+'Demand Base Matrix'!J$58*$W$2*$AD$2*$AE$2+'Demand Base Matrix'!J$60+'Demand Base Matrix'!J$61*$AF$2),IF($C98="Explore",('Demand Base Matrix'!J$82*$AC$2*$AD$2*$AE$2*$AF$2+'Demand Base Matrix'!J$83*$W$2*$AC$2*$AD$2*$AE$2*$AF$2+'Demand Base Matrix'!J$84)))))</f>
        <v>8</v>
      </c>
    </row>
    <row r="99" spans="1:39" x14ac:dyDescent="0.2">
      <c r="A99" t="s">
        <v>55</v>
      </c>
      <c r="B99" t="s">
        <v>56</v>
      </c>
      <c r="C99" t="s">
        <v>23</v>
      </c>
      <c r="D99" t="s">
        <v>53</v>
      </c>
      <c r="E99" t="s">
        <v>119</v>
      </c>
      <c r="F99" t="s">
        <v>198</v>
      </c>
      <c r="I99" t="str">
        <f>IFERROR(INDEX('Customer 360'!F:F,MATCH(B99,'Customer 360'!A:A,0)),"-")</f>
        <v>C</v>
      </c>
      <c r="J99" s="5">
        <v>0</v>
      </c>
      <c r="K99" s="5">
        <v>2967</v>
      </c>
      <c r="L99" s="4">
        <v>45975</v>
      </c>
      <c r="M99" s="4">
        <v>46029</v>
      </c>
      <c r="N99">
        <v>2026</v>
      </c>
      <c r="O99" s="4">
        <v>46023</v>
      </c>
      <c r="P99" t="s">
        <v>217</v>
      </c>
      <c r="Q99" s="18">
        <f t="shared" si="26"/>
        <v>46023</v>
      </c>
      <c r="R99" s="18">
        <f>IFERROR(IF(M99&lt;&gt;"",M99,IF(L99&lt;&gt;"",L99,INDEX('CSM RDD'!B:B,MATCH(B99,'CSM RDD'!A:A,0)))),"-")</f>
        <v>46029</v>
      </c>
      <c r="S99" s="18">
        <f t="shared" si="27"/>
        <v>46023</v>
      </c>
      <c r="T99" s="18">
        <f t="shared" si="28"/>
        <v>46023</v>
      </c>
      <c r="U99" s="6">
        <f t="shared" si="29"/>
        <v>2967</v>
      </c>
      <c r="V99" s="18">
        <f t="shared" si="32"/>
        <v>46082</v>
      </c>
      <c r="W99">
        <f>IF(U99=0,1,IF(U99&lt;='Demand Base Matrix'!$K$3,'Demand Base Matrix'!$L$3,IF(U99&lt;='Demand Base Matrix'!$K$4,'Demand Base Matrix'!$L$4,IF(U99&lt;='Demand Base Matrix'!$K$5,'Demand Base Matrix'!$L$5,IF(U99&lt;='Demand Base Matrix'!$K$6,'Demand Base Matrix'!$L$6,IF(U99&lt;='Demand Base Matrix'!$K$7,'Demand Base Matrix'!$L$7))))))</f>
        <v>1</v>
      </c>
      <c r="X99" s="4">
        <f t="shared" si="30"/>
        <v>46023</v>
      </c>
      <c r="Y99" t="str">
        <f t="shared" si="31"/>
        <v>Tx</v>
      </c>
      <c r="Z99" t="s">
        <v>685</v>
      </c>
      <c r="AA99" t="s">
        <v>685</v>
      </c>
      <c r="AB99" t="s">
        <v>685</v>
      </c>
      <c r="AC99">
        <f>IFERROR(INDEX('Demand Base Matrix'!AM:AM,MATCH(Y99,'Demand Base Matrix'!AL:AL,0)),"-")</f>
        <v>1.5</v>
      </c>
      <c r="AD99">
        <f>IFERROR(INDEX('Demand Base Matrix'!AO:AO,MATCH(Z99,'Demand Base Matrix'!AN:AN,0)),1)</f>
        <v>1</v>
      </c>
      <c r="AE99">
        <f>IFERROR(INDEX('Demand Base Matrix'!AQ:AQ,MATCH(AA99,'Demand Base Matrix'!AP:AP,0)),1)</f>
        <v>1</v>
      </c>
      <c r="AF99">
        <f>IFERROR(INDEX('Demand Base Matrix'!AS:AS,MATCH(AB99,'Demand Base Matrix'!AR:AR,0)),1)</f>
        <v>1</v>
      </c>
      <c r="AG99">
        <f>IF($C99="Validate",(('Demand Base Matrix'!D$2+'Demand Base Matrix'!D$6)*$AC$2*$AD$2*$AE$2+('Demand Base Matrix'!D$3+'Demand Base Matrix'!D$4)*$W$2*$AD$2+'Demand Base Matrix'!D$5*$W$2*$AD$2*$AE$2+'Demand Base Matrix'!D$7+'Demand Base Matrix'!D$8*$AF$2),IF($C99="Integrate",(('Demand Base Matrix'!D$28+'Demand Base Matrix'!D$32)*$AC$2*$AD$2*$AE$2+('Demand Base Matrix'!D$29+'Demand Base Matrix'!D$30)*$W$2*$AD$2+'Demand Base Matrix'!D$31*$W$2*$AD$2*$AE$2+'Demand Base Matrix'!D$33+'Demand Base Matrix'!D$34*$AF$2),IF($C99="Bond",(('Demand Base Matrix'!D$55+'Demand Base Matrix'!D$59)*$AC$2*$AD$2*$AE$2+('Demand Base Matrix'!D$56+'Demand Base Matrix'!D$57)*$W$2*$AD$2+'Demand Base Matrix'!D$58*$W$2*$AD$2*$AE$2+'Demand Base Matrix'!D$60+'Demand Base Matrix'!D$61*$AF$2),IF($C99="Explore",('Demand Base Matrix'!D$82*$AC$2*$AD$2*$AE$2*$AF$2+'Demand Base Matrix'!D$83*$W$2*$AC$2*$AD$2*$AE$2*$AF$2+'Demand Base Matrix'!D$84)))))</f>
        <v>10</v>
      </c>
      <c r="AH99">
        <f>IF($C99="Validate",(('Demand Base Matrix'!E$2+'Demand Base Matrix'!E$6)*$AC$2*$AD$2*$AE$2+('Demand Base Matrix'!E$3+'Demand Base Matrix'!E$4)*$W$2*$AD$2+'Demand Base Matrix'!E$5*$W$2*$AD$2*$AE$2+'Demand Base Matrix'!E$7+'Demand Base Matrix'!E$8*$AF$2),IF($C99="Integrate",(('Demand Base Matrix'!E$28+'Demand Base Matrix'!E$32)*$AC$2*$AD$2*$AE$2+('Demand Base Matrix'!E$29+'Demand Base Matrix'!E$30)*$W$2*$AD$2+'Demand Base Matrix'!E$31*$W$2*$AD$2*$AE$2+'Demand Base Matrix'!E$33+'Demand Base Matrix'!E$34*$AF$2),IF($C99="Bond",(('Demand Base Matrix'!E$55+'Demand Base Matrix'!E$59)*$AC$2*$AD$2*$AE$2+('Demand Base Matrix'!E$56+'Demand Base Matrix'!E$57)*$W$2*$AD$2+'Demand Base Matrix'!E$58*$W$2*$AD$2*$AE$2+'Demand Base Matrix'!E$60+'Demand Base Matrix'!E$61*$AF$2),IF($C99="Explore",('Demand Base Matrix'!E$82*$AC$2*$AD$2*$AE$2*$AF$2+'Demand Base Matrix'!E$83*$W$2*$AC$2*$AD$2*$AE$2*$AF$2+'Demand Base Matrix'!E$84)))))</f>
        <v>10</v>
      </c>
      <c r="AI99">
        <f>IF($C99="Validate",(('Demand Base Matrix'!F$2+'Demand Base Matrix'!F$6)*$AC$2*$AD$2*$AE$2+('Demand Base Matrix'!F$3+'Demand Base Matrix'!F$4)*$W$2*$AD$2+'Demand Base Matrix'!F$5*$W$2*$AD$2*$AE$2+'Demand Base Matrix'!F$7+'Demand Base Matrix'!F$8*$AF$2),IF($C99="Integrate",(('Demand Base Matrix'!F$28+'Demand Base Matrix'!F$32)*$AC$2*$AD$2*$AE$2+('Demand Base Matrix'!F$29+'Demand Base Matrix'!F$30)*$W$2*$AD$2+'Demand Base Matrix'!F$31*$W$2*$AD$2*$AE$2+'Demand Base Matrix'!F$33+'Demand Base Matrix'!F$34*$AF$2),IF($C99="Bond",(('Demand Base Matrix'!F$55+'Demand Base Matrix'!F$59)*$AC$2*$AD$2*$AE$2+('Demand Base Matrix'!F$56+'Demand Base Matrix'!F$57)*$W$2*$AD$2+'Demand Base Matrix'!F$58*$W$2*$AD$2*$AE$2+'Demand Base Matrix'!F$60+'Demand Base Matrix'!F$61*$AF$2),IF($C99="Explore",('Demand Base Matrix'!F$82*$AC$2*$AD$2*$AE$2*$AF$2+'Demand Base Matrix'!F$83*$W$2*$AC$2*$AD$2*$AE$2*$AF$2+'Demand Base Matrix'!F$84)))))</f>
        <v>10</v>
      </c>
      <c r="AJ99">
        <f>IF($C99="Validate",(('Demand Base Matrix'!G$2+'Demand Base Matrix'!G$6)*$AC$2*$AD$2*$AE$2+('Demand Base Matrix'!G$3+'Demand Base Matrix'!G$4)*$W$2*$AD$2+'Demand Base Matrix'!G$5*$W$2*$AD$2*$AE$2+'Demand Base Matrix'!G$7+'Demand Base Matrix'!G$8*$AF$2),IF($C99="Integrate",(('Demand Base Matrix'!G$28+'Demand Base Matrix'!G$32)*$AC$2*$AD$2*$AE$2+('Demand Base Matrix'!G$29+'Demand Base Matrix'!G$30)*$W$2*$AD$2+'Demand Base Matrix'!G$31*$W$2*$AD$2*$AE$2+'Demand Base Matrix'!G$33+'Demand Base Matrix'!G$34*$AF$2),IF($C99="Bond",(('Demand Base Matrix'!G$55+'Demand Base Matrix'!G$59)*$AC$2*$AD$2*$AE$2+('Demand Base Matrix'!G$56+'Demand Base Matrix'!G$57)*$W$2*$AD$2+'Demand Base Matrix'!G$58*$W$2*$AD$2*$AE$2+'Demand Base Matrix'!G$60+'Demand Base Matrix'!G$61*$AF$2),IF($C99="Explore",('Demand Base Matrix'!G$82*$AC$2*$AD$2*$AE$2*$AF$2+'Demand Base Matrix'!G$83*$W$2*$AC$2*$AD$2*$AE$2*$AF$2+'Demand Base Matrix'!G$84)))))</f>
        <v>50</v>
      </c>
      <c r="AK99">
        <f>IF($C99="Validate",(('Demand Base Matrix'!H$2+'Demand Base Matrix'!H$6)*$AC$2*$AD$2*$AE$2+('Demand Base Matrix'!H$3+'Demand Base Matrix'!H$4)*$W$2*$AD$2+'Demand Base Matrix'!H$5*$W$2*$AD$2*$AE$2+'Demand Base Matrix'!H$7+'Demand Base Matrix'!H$8*$AF$2),IF($C99="Integrate",(('Demand Base Matrix'!H$28+'Demand Base Matrix'!H$32)*$AC$2*$AD$2*$AE$2+('Demand Base Matrix'!H$29+'Demand Base Matrix'!H$30)*$W$2*$AD$2+'Demand Base Matrix'!H$31*$W$2*$AD$2*$AE$2+'Demand Base Matrix'!H$33+'Demand Base Matrix'!H$34*$AF$2),IF($C99="Bond",(('Demand Base Matrix'!H$55+'Demand Base Matrix'!H$59)*$AC$2*$AD$2*$AE$2+('Demand Base Matrix'!H$56+'Demand Base Matrix'!H$57)*$W$2*$AD$2+'Demand Base Matrix'!H$58*$W$2*$AD$2*$AE$2+'Demand Base Matrix'!H$60+'Demand Base Matrix'!H$61*$AF$2),IF($C99="Explore",('Demand Base Matrix'!H$82*$AC$2*$AD$2*$AE$2*$AF$2+'Demand Base Matrix'!H$83*$W$2*$AC$2*$AD$2*$AE$2*$AF$2+'Demand Base Matrix'!H$84)))))</f>
        <v>28</v>
      </c>
      <c r="AL99">
        <f>IF($C99="Validate",(('Demand Base Matrix'!I$2+'Demand Base Matrix'!I$6)*$AC$2*$AD$2*$AE$2+('Demand Base Matrix'!I$3+'Demand Base Matrix'!I$4)*$W$2*$AD$2+'Demand Base Matrix'!I$5*$W$2*$AD$2*$AE$2+'Demand Base Matrix'!I$7+'Demand Base Matrix'!I$8*$AF$2),IF($C99="Integrate",(('Demand Base Matrix'!I$28+'Demand Base Matrix'!I$32)*$AC$2*$AD$2*$AE$2+('Demand Base Matrix'!I$29+'Demand Base Matrix'!I$30)*$W$2*$AD$2+'Demand Base Matrix'!I$31*$W$2*$AD$2*$AE$2+'Demand Base Matrix'!I$33+'Demand Base Matrix'!I$34*$AF$2),IF($C99="Bond",(('Demand Base Matrix'!I$55+'Demand Base Matrix'!I$59)*$AC$2*$AD$2*$AE$2+('Demand Base Matrix'!I$56+'Demand Base Matrix'!I$57)*$W$2*$AD$2+'Demand Base Matrix'!I$58*$W$2*$AD$2*$AE$2+'Demand Base Matrix'!I$60+'Demand Base Matrix'!I$61*$AF$2),IF($C99="Explore",('Demand Base Matrix'!I$82*$AC$2*$AD$2*$AE$2*$AF$2+'Demand Base Matrix'!I$83*$W$2*$AC$2*$AD$2*$AE$2*$AF$2+'Demand Base Matrix'!I$84)))))</f>
        <v>8</v>
      </c>
      <c r="AM99">
        <f>IF($C99="Validate",(('Demand Base Matrix'!J$2+'Demand Base Matrix'!J$6)*$AC$2*$AD$2*$AE$2+('Demand Base Matrix'!J$3+'Demand Base Matrix'!J$4)*$W$2*$AD$2+'Demand Base Matrix'!J$5*$W$2*$AD$2*$AE$2+'Demand Base Matrix'!J$7+'Demand Base Matrix'!J$8*$AF$2),IF($C99="Integrate",(('Demand Base Matrix'!J$28+'Demand Base Matrix'!J$32)*$AC$2*$AD$2*$AE$2+('Demand Base Matrix'!J$29+'Demand Base Matrix'!J$30)*$W$2*$AD$2+'Demand Base Matrix'!J$31*$W$2*$AD$2*$AE$2+'Demand Base Matrix'!J$33+'Demand Base Matrix'!J$34*$AF$2),IF($C99="Bond",(('Demand Base Matrix'!J$55+'Demand Base Matrix'!J$59)*$AC$2*$AD$2*$AE$2+('Demand Base Matrix'!J$56+'Demand Base Matrix'!J$57)*$W$2*$AD$2+'Demand Base Matrix'!J$58*$W$2*$AD$2*$AE$2+'Demand Base Matrix'!J$60+'Demand Base Matrix'!J$61*$AF$2),IF($C99="Explore",('Demand Base Matrix'!J$82*$AC$2*$AD$2*$AE$2*$AF$2+'Demand Base Matrix'!J$83*$W$2*$AC$2*$AD$2*$AE$2*$AF$2+'Demand Base Matrix'!J$84)))))</f>
        <v>8</v>
      </c>
    </row>
    <row r="100" spans="1:39" x14ac:dyDescent="0.2">
      <c r="A100" t="s">
        <v>812</v>
      </c>
      <c r="B100" t="s">
        <v>200</v>
      </c>
      <c r="C100" t="s">
        <v>20</v>
      </c>
      <c r="D100" t="s">
        <v>36</v>
      </c>
      <c r="E100" t="s">
        <v>119</v>
      </c>
      <c r="F100" s="1" t="s">
        <v>51</v>
      </c>
      <c r="I100" t="str">
        <f>IFERROR(INDEX('Customer 360'!F:F,MATCH(B100,'Customer 360'!A:A,0)),"-")</f>
        <v>C</v>
      </c>
      <c r="J100" s="5">
        <v>264</v>
      </c>
      <c r="K100" s="5">
        <v>46</v>
      </c>
      <c r="L100" s="4">
        <v>46104</v>
      </c>
      <c r="M100" s="4">
        <v>46104</v>
      </c>
      <c r="N100">
        <v>2026</v>
      </c>
      <c r="O100" s="4">
        <v>46023</v>
      </c>
      <c r="P100" t="s">
        <v>217</v>
      </c>
      <c r="Q100" s="18">
        <f t="shared" si="26"/>
        <v>46023</v>
      </c>
      <c r="R100" s="18">
        <f>IFERROR(IF(M100&lt;&gt;"",M100,IF(L100&lt;&gt;"",L100,INDEX('CSM RDD'!B:B,MATCH(B100,'CSM RDD'!A:A,0)))),"-")</f>
        <v>46104</v>
      </c>
      <c r="S100" s="18">
        <f t="shared" si="27"/>
        <v>46023</v>
      </c>
      <c r="T100" s="18">
        <f t="shared" si="28"/>
        <v>46082</v>
      </c>
      <c r="U100" s="6">
        <f t="shared" si="29"/>
        <v>310</v>
      </c>
      <c r="V100" s="18">
        <f t="shared" si="32"/>
        <v>46023</v>
      </c>
      <c r="W100">
        <f>IF(U100=0,1,IF(U100&lt;='Demand Base Matrix'!$K$3,'Demand Base Matrix'!$L$3,IF(U100&lt;='Demand Base Matrix'!$K$4,'Demand Base Matrix'!$L$4,IF(U100&lt;='Demand Base Matrix'!$K$5,'Demand Base Matrix'!$L$5,IF(U100&lt;='Demand Base Matrix'!$K$6,'Demand Base Matrix'!$L$6,IF(U100&lt;='Demand Base Matrix'!$K$7,'Demand Base Matrix'!$L$7))))))</f>
        <v>0.75</v>
      </c>
      <c r="X100" s="4">
        <f t="shared" si="30"/>
        <v>46082</v>
      </c>
      <c r="Y100" t="str">
        <f t="shared" si="31"/>
        <v>Tx</v>
      </c>
      <c r="Z100" t="s">
        <v>685</v>
      </c>
      <c r="AA100" t="s">
        <v>685</v>
      </c>
      <c r="AB100" t="s">
        <v>685</v>
      </c>
      <c r="AC100">
        <f>IFERROR(INDEX('Demand Base Matrix'!AM:AM,MATCH(Y100,'Demand Base Matrix'!AL:AL,0)),"-")</f>
        <v>1.5</v>
      </c>
      <c r="AD100">
        <f>IFERROR(INDEX('Demand Base Matrix'!AO:AO,MATCH(Z100,'Demand Base Matrix'!AN:AN,0)),1)</f>
        <v>1</v>
      </c>
      <c r="AE100">
        <f>IFERROR(INDEX('Demand Base Matrix'!AQ:AQ,MATCH(AA100,'Demand Base Matrix'!AP:AP,0)),1)</f>
        <v>1</v>
      </c>
      <c r="AF100">
        <f>IFERROR(INDEX('Demand Base Matrix'!AS:AS,MATCH(AB100,'Demand Base Matrix'!AR:AR,0)),1)</f>
        <v>1</v>
      </c>
      <c r="AG100">
        <f>IF($C100="Validate",(('Demand Base Matrix'!D$2+'Demand Base Matrix'!D$6)*$AC$2*$AD$2*$AE$2+('Demand Base Matrix'!D$3+'Demand Base Matrix'!D$4)*$W$2*$AD$2+'Demand Base Matrix'!D$5*$W$2*$AD$2*$AE$2+'Demand Base Matrix'!D$7+'Demand Base Matrix'!D$8*$AF$2),IF($C100="Integrate",(('Demand Base Matrix'!D$28+'Demand Base Matrix'!D$32)*$AC$2*$AD$2*$AE$2+('Demand Base Matrix'!D$29+'Demand Base Matrix'!D$30)*$W$2*$AD$2+'Demand Base Matrix'!D$31*$W$2*$AD$2*$AE$2+'Demand Base Matrix'!D$33+'Demand Base Matrix'!D$34*$AF$2),IF($C100="Bond",(('Demand Base Matrix'!D$55+'Demand Base Matrix'!D$59)*$AC$2*$AD$2*$AE$2+('Demand Base Matrix'!D$56+'Demand Base Matrix'!D$57)*$W$2*$AD$2+'Demand Base Matrix'!D$58*$W$2*$AD$2*$AE$2+'Demand Base Matrix'!D$60+'Demand Base Matrix'!D$61*$AF$2),IF($C100="Explore",('Demand Base Matrix'!D$82*$AC$2*$AD$2*$AE$2*$AF$2+'Demand Base Matrix'!D$83*$W$2*$AC$2*$AD$2*$AE$2*$AF$2+'Demand Base Matrix'!D$84)))))</f>
        <v>15</v>
      </c>
      <c r="AH100">
        <f>IF($C100="Validate",(('Demand Base Matrix'!E$2+'Demand Base Matrix'!E$6)*$AC$2*$AD$2*$AE$2+('Demand Base Matrix'!E$3+'Demand Base Matrix'!E$4)*$W$2*$AD$2+'Demand Base Matrix'!E$5*$W$2*$AD$2*$AE$2+'Demand Base Matrix'!E$7+'Demand Base Matrix'!E$8*$AF$2),IF($C100="Integrate",(('Demand Base Matrix'!E$28+'Demand Base Matrix'!E$32)*$AC$2*$AD$2*$AE$2+('Demand Base Matrix'!E$29+'Demand Base Matrix'!E$30)*$W$2*$AD$2+'Demand Base Matrix'!E$31*$W$2*$AD$2*$AE$2+'Demand Base Matrix'!E$33+'Demand Base Matrix'!E$34*$AF$2),IF($C100="Bond",(('Demand Base Matrix'!E$55+'Demand Base Matrix'!E$59)*$AC$2*$AD$2*$AE$2+('Demand Base Matrix'!E$56+'Demand Base Matrix'!E$57)*$W$2*$AD$2+'Demand Base Matrix'!E$58*$W$2*$AD$2*$AE$2+'Demand Base Matrix'!E$60+'Demand Base Matrix'!E$61*$AF$2),IF($C100="Explore",('Demand Base Matrix'!E$82*$AC$2*$AD$2*$AE$2*$AF$2+'Demand Base Matrix'!E$83*$W$2*$AC$2*$AD$2*$AE$2*$AF$2+'Demand Base Matrix'!E$84)))))</f>
        <v>15</v>
      </c>
      <c r="AI100">
        <f>IF($C100="Validate",(('Demand Base Matrix'!F$2+'Demand Base Matrix'!F$6)*$AC$2*$AD$2*$AE$2+('Demand Base Matrix'!F$3+'Demand Base Matrix'!F$4)*$W$2*$AD$2+'Demand Base Matrix'!F$5*$W$2*$AD$2*$AE$2+'Demand Base Matrix'!F$7+'Demand Base Matrix'!F$8*$AF$2),IF($C100="Integrate",(('Demand Base Matrix'!F$28+'Demand Base Matrix'!F$32)*$AC$2*$AD$2*$AE$2+('Demand Base Matrix'!F$29+'Demand Base Matrix'!F$30)*$W$2*$AD$2+'Demand Base Matrix'!F$31*$W$2*$AD$2*$AE$2+'Demand Base Matrix'!F$33+'Demand Base Matrix'!F$34*$AF$2),IF($C100="Bond",(('Demand Base Matrix'!F$55+'Demand Base Matrix'!F$59)*$AC$2*$AD$2*$AE$2+('Demand Base Matrix'!F$56+'Demand Base Matrix'!F$57)*$W$2*$AD$2+'Demand Base Matrix'!F$58*$W$2*$AD$2*$AE$2+'Demand Base Matrix'!F$60+'Demand Base Matrix'!F$61*$AF$2),IF($C100="Explore",('Demand Base Matrix'!F$82*$AC$2*$AD$2*$AE$2*$AF$2+'Demand Base Matrix'!F$83*$W$2*$AC$2*$AD$2*$AE$2*$AF$2+'Demand Base Matrix'!F$84)))))</f>
        <v>7</v>
      </c>
      <c r="AJ100">
        <f>IF($C100="Validate",(('Demand Base Matrix'!G$2+'Demand Base Matrix'!G$6)*$AC$2*$AD$2*$AE$2+('Demand Base Matrix'!G$3+'Demand Base Matrix'!G$4)*$W$2*$AD$2+'Demand Base Matrix'!G$5*$W$2*$AD$2*$AE$2+'Demand Base Matrix'!G$7+'Demand Base Matrix'!G$8*$AF$2),IF($C100="Integrate",(('Demand Base Matrix'!G$28+'Demand Base Matrix'!G$32)*$AC$2*$AD$2*$AE$2+('Demand Base Matrix'!G$29+'Demand Base Matrix'!G$30)*$W$2*$AD$2+'Demand Base Matrix'!G$31*$W$2*$AD$2*$AE$2+'Demand Base Matrix'!G$33+'Demand Base Matrix'!G$34*$AF$2),IF($C100="Bond",(('Demand Base Matrix'!G$55+'Demand Base Matrix'!G$59)*$AC$2*$AD$2*$AE$2+('Demand Base Matrix'!G$56+'Demand Base Matrix'!G$57)*$W$2*$AD$2+'Demand Base Matrix'!G$58*$W$2*$AD$2*$AE$2+'Demand Base Matrix'!G$60+'Demand Base Matrix'!G$61*$AF$2),IF($C100="Explore",('Demand Base Matrix'!G$82*$AC$2*$AD$2*$AE$2*$AF$2+'Demand Base Matrix'!G$83*$W$2*$AC$2*$AD$2*$AE$2*$AF$2+'Demand Base Matrix'!G$84)))))</f>
        <v>40</v>
      </c>
      <c r="AK100">
        <f>IF($C100="Validate",(('Demand Base Matrix'!H$2+'Demand Base Matrix'!H$6)*$AC$2*$AD$2*$AE$2+('Demand Base Matrix'!H$3+'Demand Base Matrix'!H$4)*$W$2*$AD$2+'Demand Base Matrix'!H$5*$W$2*$AD$2*$AE$2+'Demand Base Matrix'!H$7+'Demand Base Matrix'!H$8*$AF$2),IF($C100="Integrate",(('Demand Base Matrix'!H$28+'Demand Base Matrix'!H$32)*$AC$2*$AD$2*$AE$2+('Demand Base Matrix'!H$29+'Demand Base Matrix'!H$30)*$W$2*$AD$2+'Demand Base Matrix'!H$31*$W$2*$AD$2*$AE$2+'Demand Base Matrix'!H$33+'Demand Base Matrix'!H$34*$AF$2),IF($C100="Bond",(('Demand Base Matrix'!H$55+'Demand Base Matrix'!H$59)*$AC$2*$AD$2*$AE$2+('Demand Base Matrix'!H$56+'Demand Base Matrix'!H$57)*$W$2*$AD$2+'Demand Base Matrix'!H$58*$W$2*$AD$2*$AE$2+'Demand Base Matrix'!H$60+'Demand Base Matrix'!H$61*$AF$2),IF($C100="Explore",('Demand Base Matrix'!H$82*$AC$2*$AD$2*$AE$2*$AF$2+'Demand Base Matrix'!H$83*$W$2*$AC$2*$AD$2*$AE$2*$AF$2+'Demand Base Matrix'!H$84)))))</f>
        <v>60</v>
      </c>
      <c r="AL100">
        <f>IF($C100="Validate",(('Demand Base Matrix'!I$2+'Demand Base Matrix'!I$6)*$AC$2*$AD$2*$AE$2+('Demand Base Matrix'!I$3+'Demand Base Matrix'!I$4)*$W$2*$AD$2+'Demand Base Matrix'!I$5*$W$2*$AD$2*$AE$2+'Demand Base Matrix'!I$7+'Demand Base Matrix'!I$8*$AF$2),IF($C100="Integrate",(('Demand Base Matrix'!I$28+'Demand Base Matrix'!I$32)*$AC$2*$AD$2*$AE$2+('Demand Base Matrix'!I$29+'Demand Base Matrix'!I$30)*$W$2*$AD$2+'Demand Base Matrix'!I$31*$W$2*$AD$2*$AE$2+'Demand Base Matrix'!I$33+'Demand Base Matrix'!I$34*$AF$2),IF($C100="Bond",(('Demand Base Matrix'!I$55+'Demand Base Matrix'!I$59)*$AC$2*$AD$2*$AE$2+('Demand Base Matrix'!I$56+'Demand Base Matrix'!I$57)*$W$2*$AD$2+'Demand Base Matrix'!I$58*$W$2*$AD$2*$AE$2+'Demand Base Matrix'!I$60+'Demand Base Matrix'!I$61*$AF$2),IF($C100="Explore",('Demand Base Matrix'!I$82*$AC$2*$AD$2*$AE$2*$AF$2+'Demand Base Matrix'!I$83*$W$2*$AC$2*$AD$2*$AE$2*$AF$2+'Demand Base Matrix'!I$84)))))</f>
        <v>10</v>
      </c>
      <c r="AM100">
        <f>IF($C100="Validate",(('Demand Base Matrix'!J$2+'Demand Base Matrix'!J$6)*$AC$2*$AD$2*$AE$2+('Demand Base Matrix'!J$3+'Demand Base Matrix'!J$4)*$W$2*$AD$2+'Demand Base Matrix'!J$5*$W$2*$AD$2*$AE$2+'Demand Base Matrix'!J$7+'Demand Base Matrix'!J$8*$AF$2),IF($C100="Integrate",(('Demand Base Matrix'!J$28+'Demand Base Matrix'!J$32)*$AC$2*$AD$2*$AE$2+('Demand Base Matrix'!J$29+'Demand Base Matrix'!J$30)*$W$2*$AD$2+'Demand Base Matrix'!J$31*$W$2*$AD$2*$AE$2+'Demand Base Matrix'!J$33+'Demand Base Matrix'!J$34*$AF$2),IF($C100="Bond",(('Demand Base Matrix'!J$55+'Demand Base Matrix'!J$59)*$AC$2*$AD$2*$AE$2+('Demand Base Matrix'!J$56+'Demand Base Matrix'!J$57)*$W$2*$AD$2+'Demand Base Matrix'!J$58*$W$2*$AD$2*$AE$2+'Demand Base Matrix'!J$60+'Demand Base Matrix'!J$61*$AF$2),IF($C100="Explore",('Demand Base Matrix'!J$82*$AC$2*$AD$2*$AE$2*$AF$2+'Demand Base Matrix'!J$83*$W$2*$AC$2*$AD$2*$AE$2*$AF$2+'Demand Base Matrix'!J$84)))))</f>
        <v>4</v>
      </c>
    </row>
    <row r="101" spans="1:39" x14ac:dyDescent="0.2">
      <c r="A101" t="s">
        <v>83</v>
      </c>
      <c r="B101" t="s">
        <v>84</v>
      </c>
      <c r="C101" t="s">
        <v>32</v>
      </c>
      <c r="D101" t="s">
        <v>60</v>
      </c>
      <c r="E101" t="s">
        <v>25</v>
      </c>
      <c r="F101" t="s">
        <v>25</v>
      </c>
      <c r="I101" t="str">
        <f>IFERROR(INDEX('Customer 360'!F:F,MATCH(B101,'Customer 360'!A:A,0)),"-")</f>
        <v>A</v>
      </c>
      <c r="J101" s="5">
        <v>8211</v>
      </c>
      <c r="K101" s="5">
        <v>0</v>
      </c>
      <c r="L101" s="4">
        <v>46057</v>
      </c>
      <c r="M101" s="4">
        <v>46058</v>
      </c>
      <c r="N101">
        <v>2026</v>
      </c>
      <c r="O101" s="4">
        <v>46023</v>
      </c>
      <c r="P101" t="s">
        <v>217</v>
      </c>
      <c r="Q101" s="18">
        <f t="shared" si="26"/>
        <v>46023</v>
      </c>
      <c r="R101" s="18">
        <f>IFERROR(IF(M101&lt;&gt;"",M101,IF(L101&lt;&gt;"",L101,INDEX('CSM RDD'!B:B,MATCH(B101,'CSM RDD'!A:A,0)))),"-")</f>
        <v>46058</v>
      </c>
      <c r="S101" s="18">
        <f t="shared" si="27"/>
        <v>46023</v>
      </c>
      <c r="T101" s="18">
        <f t="shared" si="28"/>
        <v>46054</v>
      </c>
      <c r="U101" s="6">
        <f t="shared" si="29"/>
        <v>8211</v>
      </c>
      <c r="V101" s="18">
        <f t="shared" si="32"/>
        <v>46082</v>
      </c>
      <c r="W101">
        <f>IF(U101=0,1,IF(U101&lt;='Demand Base Matrix'!$K$3,'Demand Base Matrix'!$L$3,IF(U101&lt;='Demand Base Matrix'!$K$4,'Demand Base Matrix'!$L$4,IF(U101&lt;='Demand Base Matrix'!$K$5,'Demand Base Matrix'!$L$5,IF(U101&lt;='Demand Base Matrix'!$K$6,'Demand Base Matrix'!$L$6,IF(U101&lt;='Demand Base Matrix'!$K$7,'Demand Base Matrix'!$L$7))))))</f>
        <v>1.25</v>
      </c>
      <c r="X101" s="4">
        <f t="shared" si="30"/>
        <v>46054</v>
      </c>
      <c r="Y101" t="str">
        <f t="shared" si="31"/>
        <v>Dx</v>
      </c>
      <c r="Z101" t="s">
        <v>685</v>
      </c>
      <c r="AA101" t="s">
        <v>685</v>
      </c>
      <c r="AB101" t="s">
        <v>685</v>
      </c>
      <c r="AC101">
        <f>IFERROR(INDEX('Demand Base Matrix'!AM:AM,MATCH(Y101,'Demand Base Matrix'!AL:AL,0)),"-")</f>
        <v>1</v>
      </c>
      <c r="AD101">
        <f>IFERROR(INDEX('Demand Base Matrix'!AO:AO,MATCH(Z101,'Demand Base Matrix'!AN:AN,0)),1)</f>
        <v>1</v>
      </c>
      <c r="AE101">
        <f>IFERROR(INDEX('Demand Base Matrix'!AQ:AQ,MATCH(AA101,'Demand Base Matrix'!AP:AP,0)),1)</f>
        <v>1</v>
      </c>
      <c r="AF101">
        <f>IFERROR(INDEX('Demand Base Matrix'!AS:AS,MATCH(AB101,'Demand Base Matrix'!AR:AR,0)),1)</f>
        <v>1</v>
      </c>
      <c r="AG101">
        <f>IF($C101="Validate",(('Demand Base Matrix'!D$2+'Demand Base Matrix'!D$6)*$AC$2*$AD$2*$AE$2+('Demand Base Matrix'!D$3+'Demand Base Matrix'!D$4)*$W$2*$AD$2+'Demand Base Matrix'!D$5*$W$2*$AD$2*$AE$2+'Demand Base Matrix'!D$7+'Demand Base Matrix'!D$8*$AF$2),IF($C101="Integrate",(('Demand Base Matrix'!D$28+'Demand Base Matrix'!D$32)*$AC$2*$AD$2*$AE$2+('Demand Base Matrix'!D$29+'Demand Base Matrix'!D$30)*$W$2*$AD$2+'Demand Base Matrix'!D$31*$W$2*$AD$2*$AE$2+'Demand Base Matrix'!D$33+'Demand Base Matrix'!D$34*$AF$2),IF($C101="Bond",(('Demand Base Matrix'!D$55+'Demand Base Matrix'!D$59)*$AC$2*$AD$2*$AE$2+('Demand Base Matrix'!D$56+'Demand Base Matrix'!D$57)*$W$2*$AD$2+'Demand Base Matrix'!D$58*$W$2*$AD$2*$AE$2+'Demand Base Matrix'!D$60+'Demand Base Matrix'!D$61*$AF$2),IF($C101="Explore",('Demand Base Matrix'!D$82*$AC$2*$AD$2*$AE$2*$AF$2+'Demand Base Matrix'!D$83*$W$2*$AC$2*$AD$2*$AE$2*$AF$2+'Demand Base Matrix'!D$84)))))</f>
        <v>10</v>
      </c>
      <c r="AH101">
        <f>IF($C101="Validate",(('Demand Base Matrix'!E$2+'Demand Base Matrix'!E$6)*$AC$2*$AD$2*$AE$2+('Demand Base Matrix'!E$3+'Demand Base Matrix'!E$4)*$W$2*$AD$2+'Demand Base Matrix'!E$5*$W$2*$AD$2*$AE$2+'Demand Base Matrix'!E$7+'Demand Base Matrix'!E$8*$AF$2),IF($C101="Integrate",(('Demand Base Matrix'!E$28+'Demand Base Matrix'!E$32)*$AC$2*$AD$2*$AE$2+('Demand Base Matrix'!E$29+'Demand Base Matrix'!E$30)*$W$2*$AD$2+'Demand Base Matrix'!E$31*$W$2*$AD$2*$AE$2+'Demand Base Matrix'!E$33+'Demand Base Matrix'!E$34*$AF$2),IF($C101="Bond",(('Demand Base Matrix'!E$55+'Demand Base Matrix'!E$59)*$AC$2*$AD$2*$AE$2+('Demand Base Matrix'!E$56+'Demand Base Matrix'!E$57)*$W$2*$AD$2+'Demand Base Matrix'!E$58*$W$2*$AD$2*$AE$2+'Demand Base Matrix'!E$60+'Demand Base Matrix'!E$61*$AF$2),IF($C101="Explore",('Demand Base Matrix'!E$82*$AC$2*$AD$2*$AE$2*$AF$2+'Demand Base Matrix'!E$83*$W$2*$AC$2*$AD$2*$AE$2*$AF$2+'Demand Base Matrix'!E$84)))))</f>
        <v>20</v>
      </c>
      <c r="AI101">
        <f>IF($C101="Validate",(('Demand Base Matrix'!F$2+'Demand Base Matrix'!F$6)*$AC$2*$AD$2*$AE$2+('Demand Base Matrix'!F$3+'Demand Base Matrix'!F$4)*$W$2*$AD$2+'Demand Base Matrix'!F$5*$W$2*$AD$2*$AE$2+'Demand Base Matrix'!F$7+'Demand Base Matrix'!F$8*$AF$2),IF($C101="Integrate",(('Demand Base Matrix'!F$28+'Demand Base Matrix'!F$32)*$AC$2*$AD$2*$AE$2+('Demand Base Matrix'!F$29+'Demand Base Matrix'!F$30)*$W$2*$AD$2+'Demand Base Matrix'!F$31*$W$2*$AD$2*$AE$2+'Demand Base Matrix'!F$33+'Demand Base Matrix'!F$34*$AF$2),IF($C101="Bond",(('Demand Base Matrix'!F$55+'Demand Base Matrix'!F$59)*$AC$2*$AD$2*$AE$2+('Demand Base Matrix'!F$56+'Demand Base Matrix'!F$57)*$W$2*$AD$2+'Demand Base Matrix'!F$58*$W$2*$AD$2*$AE$2+'Demand Base Matrix'!F$60+'Demand Base Matrix'!F$61*$AF$2),IF($C101="Explore",('Demand Base Matrix'!F$82*$AC$2*$AD$2*$AE$2*$AF$2+'Demand Base Matrix'!F$83*$W$2*$AC$2*$AD$2*$AE$2*$AF$2+'Demand Base Matrix'!F$84)))))</f>
        <v>10</v>
      </c>
      <c r="AJ101">
        <f>IF($C101="Validate",(('Demand Base Matrix'!G$2+'Demand Base Matrix'!G$6)*$AC$2*$AD$2*$AE$2+('Demand Base Matrix'!G$3+'Demand Base Matrix'!G$4)*$W$2*$AD$2+'Demand Base Matrix'!G$5*$W$2*$AD$2*$AE$2+'Demand Base Matrix'!G$7+'Demand Base Matrix'!G$8*$AF$2),IF($C101="Integrate",(('Demand Base Matrix'!G$28+'Demand Base Matrix'!G$32)*$AC$2*$AD$2*$AE$2+('Demand Base Matrix'!G$29+'Demand Base Matrix'!G$30)*$W$2*$AD$2+'Demand Base Matrix'!G$31*$W$2*$AD$2*$AE$2+'Demand Base Matrix'!G$33+'Demand Base Matrix'!G$34*$AF$2),IF($C101="Bond",(('Demand Base Matrix'!G$55+'Demand Base Matrix'!G$59)*$AC$2*$AD$2*$AE$2+('Demand Base Matrix'!G$56+'Demand Base Matrix'!G$57)*$W$2*$AD$2+'Demand Base Matrix'!G$58*$W$2*$AD$2*$AE$2+'Demand Base Matrix'!G$60+'Demand Base Matrix'!G$61*$AF$2),IF($C101="Explore",('Demand Base Matrix'!G$82*$AC$2*$AD$2*$AE$2*$AF$2+'Demand Base Matrix'!G$83*$W$2*$AC$2*$AD$2*$AE$2*$AF$2+'Demand Base Matrix'!G$84)))))</f>
        <v>60</v>
      </c>
      <c r="AK101">
        <f>IF($C101="Validate",(('Demand Base Matrix'!H$2+'Demand Base Matrix'!H$6)*$AC$2*$AD$2*$AE$2+('Demand Base Matrix'!H$3+'Demand Base Matrix'!H$4)*$W$2*$AD$2+'Demand Base Matrix'!H$5*$W$2*$AD$2*$AE$2+'Demand Base Matrix'!H$7+'Demand Base Matrix'!H$8*$AF$2),IF($C101="Integrate",(('Demand Base Matrix'!H$28+'Demand Base Matrix'!H$32)*$AC$2*$AD$2*$AE$2+('Demand Base Matrix'!H$29+'Demand Base Matrix'!H$30)*$W$2*$AD$2+'Demand Base Matrix'!H$31*$W$2*$AD$2*$AE$2+'Demand Base Matrix'!H$33+'Demand Base Matrix'!H$34*$AF$2),IF($C101="Bond",(('Demand Base Matrix'!H$55+'Demand Base Matrix'!H$59)*$AC$2*$AD$2*$AE$2+('Demand Base Matrix'!H$56+'Demand Base Matrix'!H$57)*$W$2*$AD$2+'Demand Base Matrix'!H$58*$W$2*$AD$2*$AE$2+'Demand Base Matrix'!H$60+'Demand Base Matrix'!H$61*$AF$2),IF($C101="Explore",('Demand Base Matrix'!H$82*$AC$2*$AD$2*$AE$2*$AF$2+'Demand Base Matrix'!H$83*$W$2*$AC$2*$AD$2*$AE$2*$AF$2+'Demand Base Matrix'!H$84)))))</f>
        <v>28</v>
      </c>
      <c r="AL101">
        <f>IF($C101="Validate",(('Demand Base Matrix'!I$2+'Demand Base Matrix'!I$6)*$AC$2*$AD$2*$AE$2+('Demand Base Matrix'!I$3+'Demand Base Matrix'!I$4)*$W$2*$AD$2+'Demand Base Matrix'!I$5*$W$2*$AD$2*$AE$2+'Demand Base Matrix'!I$7+'Demand Base Matrix'!I$8*$AF$2),IF($C101="Integrate",(('Demand Base Matrix'!I$28+'Demand Base Matrix'!I$32)*$AC$2*$AD$2*$AE$2+('Demand Base Matrix'!I$29+'Demand Base Matrix'!I$30)*$W$2*$AD$2+'Demand Base Matrix'!I$31*$W$2*$AD$2*$AE$2+'Demand Base Matrix'!I$33+'Demand Base Matrix'!I$34*$AF$2),IF($C101="Bond",(('Demand Base Matrix'!I$55+'Demand Base Matrix'!I$59)*$AC$2*$AD$2*$AE$2+('Demand Base Matrix'!I$56+'Demand Base Matrix'!I$57)*$W$2*$AD$2+'Demand Base Matrix'!I$58*$W$2*$AD$2*$AE$2+'Demand Base Matrix'!I$60+'Demand Base Matrix'!I$61*$AF$2),IF($C101="Explore",('Demand Base Matrix'!I$82*$AC$2*$AD$2*$AE$2*$AF$2+'Demand Base Matrix'!I$83*$W$2*$AC$2*$AD$2*$AE$2*$AF$2+'Demand Base Matrix'!I$84)))))</f>
        <v>8</v>
      </c>
      <c r="AM101">
        <f>IF($C101="Validate",(('Demand Base Matrix'!J$2+'Demand Base Matrix'!J$6)*$AC$2*$AD$2*$AE$2+('Demand Base Matrix'!J$3+'Demand Base Matrix'!J$4)*$W$2*$AD$2+'Demand Base Matrix'!J$5*$W$2*$AD$2*$AE$2+'Demand Base Matrix'!J$7+'Demand Base Matrix'!J$8*$AF$2),IF($C101="Integrate",(('Demand Base Matrix'!J$28+'Demand Base Matrix'!J$32)*$AC$2*$AD$2*$AE$2+('Demand Base Matrix'!J$29+'Demand Base Matrix'!J$30)*$W$2*$AD$2+'Demand Base Matrix'!J$31*$W$2*$AD$2*$AE$2+'Demand Base Matrix'!J$33+'Demand Base Matrix'!J$34*$AF$2),IF($C101="Bond",(('Demand Base Matrix'!J$55+'Demand Base Matrix'!J$59)*$AC$2*$AD$2*$AE$2+('Demand Base Matrix'!J$56+'Demand Base Matrix'!J$57)*$W$2*$AD$2+'Demand Base Matrix'!J$58*$W$2*$AD$2*$AE$2+'Demand Base Matrix'!J$60+'Demand Base Matrix'!J$61*$AF$2),IF($C101="Explore",('Demand Base Matrix'!J$82*$AC$2*$AD$2*$AE$2*$AF$2+'Demand Base Matrix'!J$83*$W$2*$AC$2*$AD$2*$AE$2*$AF$2+'Demand Base Matrix'!J$84)))))</f>
        <v>8</v>
      </c>
    </row>
    <row r="102" spans="1:39" x14ac:dyDescent="0.2">
      <c r="A102" t="s">
        <v>814</v>
      </c>
      <c r="B102" t="s">
        <v>195</v>
      </c>
      <c r="C102" t="s">
        <v>20</v>
      </c>
      <c r="D102" t="s">
        <v>186</v>
      </c>
      <c r="E102" t="s">
        <v>115</v>
      </c>
      <c r="F102" t="s">
        <v>800</v>
      </c>
      <c r="I102" t="str">
        <f>IFERROR(INDEX('Customer 360'!F:F,MATCH(B102,'Customer 360'!A:A,0)),"-")</f>
        <v>C</v>
      </c>
      <c r="J102" s="5">
        <v>1984</v>
      </c>
      <c r="K102" s="5">
        <v>0</v>
      </c>
      <c r="L102" s="4">
        <v>46069</v>
      </c>
      <c r="M102" s="4">
        <v>46065</v>
      </c>
      <c r="N102">
        <v>2026</v>
      </c>
      <c r="O102" s="4">
        <v>46023</v>
      </c>
      <c r="P102" t="s">
        <v>217</v>
      </c>
      <c r="Q102" s="18">
        <f t="shared" si="26"/>
        <v>46023</v>
      </c>
      <c r="R102" s="18">
        <f>IFERROR(IF(M102&lt;&gt;"",M102,IF(L102&lt;&gt;"",L102,INDEX('CSM RDD'!B:B,MATCH(B102,'CSM RDD'!A:A,0)))),"-")</f>
        <v>46065</v>
      </c>
      <c r="S102" s="18">
        <f t="shared" si="27"/>
        <v>46023</v>
      </c>
      <c r="T102" s="18">
        <f t="shared" si="28"/>
        <v>46054</v>
      </c>
      <c r="U102" s="6">
        <f t="shared" si="29"/>
        <v>1984</v>
      </c>
      <c r="V102" s="18">
        <f t="shared" si="32"/>
        <v>46023</v>
      </c>
      <c r="W102">
        <f>IF(U102=0,1,IF(U102&lt;='Demand Base Matrix'!$K$3,'Demand Base Matrix'!$L$3,IF(U102&lt;='Demand Base Matrix'!$K$4,'Demand Base Matrix'!$L$4,IF(U102&lt;='Demand Base Matrix'!$K$5,'Demand Base Matrix'!$L$5,IF(U102&lt;='Demand Base Matrix'!$K$6,'Demand Base Matrix'!$L$6,IF(U102&lt;='Demand Base Matrix'!$K$7,'Demand Base Matrix'!$L$7))))))</f>
        <v>1</v>
      </c>
      <c r="X102" s="4">
        <f t="shared" si="30"/>
        <v>46054</v>
      </c>
      <c r="Y102" t="str">
        <f t="shared" si="31"/>
        <v>Dx</v>
      </c>
      <c r="Z102" t="s">
        <v>685</v>
      </c>
      <c r="AA102" t="s">
        <v>685</v>
      </c>
      <c r="AB102" t="s">
        <v>685</v>
      </c>
      <c r="AC102">
        <f>IFERROR(INDEX('Demand Base Matrix'!AM:AM,MATCH(Y102,'Demand Base Matrix'!AL:AL,0)),"-")</f>
        <v>1</v>
      </c>
      <c r="AD102">
        <f>IFERROR(INDEX('Demand Base Matrix'!AO:AO,MATCH(Z102,'Demand Base Matrix'!AN:AN,0)),1)</f>
        <v>1</v>
      </c>
      <c r="AE102">
        <f>IFERROR(INDEX('Demand Base Matrix'!AQ:AQ,MATCH(AA102,'Demand Base Matrix'!AP:AP,0)),1)</f>
        <v>1</v>
      </c>
      <c r="AF102">
        <f>IFERROR(INDEX('Demand Base Matrix'!AS:AS,MATCH(AB102,'Demand Base Matrix'!AR:AR,0)),1)</f>
        <v>1</v>
      </c>
      <c r="AG102">
        <f>IF($C102="Validate",(('Demand Base Matrix'!D$2+'Demand Base Matrix'!D$6)*$AC$2*$AD$2*$AE$2+('Demand Base Matrix'!D$3+'Demand Base Matrix'!D$4)*$W$2*$AD$2+'Demand Base Matrix'!D$5*$W$2*$AD$2*$AE$2+'Demand Base Matrix'!D$7+'Demand Base Matrix'!D$8*$AF$2),IF($C102="Integrate",(('Demand Base Matrix'!D$28+'Demand Base Matrix'!D$32)*$AC$2*$AD$2*$AE$2+('Demand Base Matrix'!D$29+'Demand Base Matrix'!D$30)*$W$2*$AD$2+'Demand Base Matrix'!D$31*$W$2*$AD$2*$AE$2+'Demand Base Matrix'!D$33+'Demand Base Matrix'!D$34*$AF$2),IF($C102="Bond",(('Demand Base Matrix'!D$55+'Demand Base Matrix'!D$59)*$AC$2*$AD$2*$AE$2+('Demand Base Matrix'!D$56+'Demand Base Matrix'!D$57)*$W$2*$AD$2+'Demand Base Matrix'!D$58*$W$2*$AD$2*$AE$2+'Demand Base Matrix'!D$60+'Demand Base Matrix'!D$61*$AF$2),IF($C102="Explore",('Demand Base Matrix'!D$82*$AC$2*$AD$2*$AE$2*$AF$2+'Demand Base Matrix'!D$83*$W$2*$AC$2*$AD$2*$AE$2*$AF$2+'Demand Base Matrix'!D$84)))))</f>
        <v>15</v>
      </c>
      <c r="AH102">
        <f>IF($C102="Validate",(('Demand Base Matrix'!E$2+'Demand Base Matrix'!E$6)*$AC$2*$AD$2*$AE$2+('Demand Base Matrix'!E$3+'Demand Base Matrix'!E$4)*$W$2*$AD$2+'Demand Base Matrix'!E$5*$W$2*$AD$2*$AE$2+'Demand Base Matrix'!E$7+'Demand Base Matrix'!E$8*$AF$2),IF($C102="Integrate",(('Demand Base Matrix'!E$28+'Demand Base Matrix'!E$32)*$AC$2*$AD$2*$AE$2+('Demand Base Matrix'!E$29+'Demand Base Matrix'!E$30)*$W$2*$AD$2+'Demand Base Matrix'!E$31*$W$2*$AD$2*$AE$2+'Demand Base Matrix'!E$33+'Demand Base Matrix'!E$34*$AF$2),IF($C102="Bond",(('Demand Base Matrix'!E$55+'Demand Base Matrix'!E$59)*$AC$2*$AD$2*$AE$2+('Demand Base Matrix'!E$56+'Demand Base Matrix'!E$57)*$W$2*$AD$2+'Demand Base Matrix'!E$58*$W$2*$AD$2*$AE$2+'Demand Base Matrix'!E$60+'Demand Base Matrix'!E$61*$AF$2),IF($C102="Explore",('Demand Base Matrix'!E$82*$AC$2*$AD$2*$AE$2*$AF$2+'Demand Base Matrix'!E$83*$W$2*$AC$2*$AD$2*$AE$2*$AF$2+'Demand Base Matrix'!E$84)))))</f>
        <v>15</v>
      </c>
      <c r="AI102">
        <f>IF($C102="Validate",(('Demand Base Matrix'!F$2+'Demand Base Matrix'!F$6)*$AC$2*$AD$2*$AE$2+('Demand Base Matrix'!F$3+'Demand Base Matrix'!F$4)*$W$2*$AD$2+'Demand Base Matrix'!F$5*$W$2*$AD$2*$AE$2+'Demand Base Matrix'!F$7+'Demand Base Matrix'!F$8*$AF$2),IF($C102="Integrate",(('Demand Base Matrix'!F$28+'Demand Base Matrix'!F$32)*$AC$2*$AD$2*$AE$2+('Demand Base Matrix'!F$29+'Demand Base Matrix'!F$30)*$W$2*$AD$2+'Demand Base Matrix'!F$31*$W$2*$AD$2*$AE$2+'Demand Base Matrix'!F$33+'Demand Base Matrix'!F$34*$AF$2),IF($C102="Bond",(('Demand Base Matrix'!F$55+'Demand Base Matrix'!F$59)*$AC$2*$AD$2*$AE$2+('Demand Base Matrix'!F$56+'Demand Base Matrix'!F$57)*$W$2*$AD$2+'Demand Base Matrix'!F$58*$W$2*$AD$2*$AE$2+'Demand Base Matrix'!F$60+'Demand Base Matrix'!F$61*$AF$2),IF($C102="Explore",('Demand Base Matrix'!F$82*$AC$2*$AD$2*$AE$2*$AF$2+'Demand Base Matrix'!F$83*$W$2*$AC$2*$AD$2*$AE$2*$AF$2+'Demand Base Matrix'!F$84)))))</f>
        <v>7</v>
      </c>
      <c r="AJ102">
        <f>IF($C102="Validate",(('Demand Base Matrix'!G$2+'Demand Base Matrix'!G$6)*$AC$2*$AD$2*$AE$2+('Demand Base Matrix'!G$3+'Demand Base Matrix'!G$4)*$W$2*$AD$2+'Demand Base Matrix'!G$5*$W$2*$AD$2*$AE$2+'Demand Base Matrix'!G$7+'Demand Base Matrix'!G$8*$AF$2),IF($C102="Integrate",(('Demand Base Matrix'!G$28+'Demand Base Matrix'!G$32)*$AC$2*$AD$2*$AE$2+('Demand Base Matrix'!G$29+'Demand Base Matrix'!G$30)*$W$2*$AD$2+'Demand Base Matrix'!G$31*$W$2*$AD$2*$AE$2+'Demand Base Matrix'!G$33+'Demand Base Matrix'!G$34*$AF$2),IF($C102="Bond",(('Demand Base Matrix'!G$55+'Demand Base Matrix'!G$59)*$AC$2*$AD$2*$AE$2+('Demand Base Matrix'!G$56+'Demand Base Matrix'!G$57)*$W$2*$AD$2+'Demand Base Matrix'!G$58*$W$2*$AD$2*$AE$2+'Demand Base Matrix'!G$60+'Demand Base Matrix'!G$61*$AF$2),IF($C102="Explore",('Demand Base Matrix'!G$82*$AC$2*$AD$2*$AE$2*$AF$2+'Demand Base Matrix'!G$83*$W$2*$AC$2*$AD$2*$AE$2*$AF$2+'Demand Base Matrix'!G$84)))))</f>
        <v>40</v>
      </c>
      <c r="AK102">
        <f>IF($C102="Validate",(('Demand Base Matrix'!H$2+'Demand Base Matrix'!H$6)*$AC$2*$AD$2*$AE$2+('Demand Base Matrix'!H$3+'Demand Base Matrix'!H$4)*$W$2*$AD$2+'Demand Base Matrix'!H$5*$W$2*$AD$2*$AE$2+'Demand Base Matrix'!H$7+'Demand Base Matrix'!H$8*$AF$2),IF($C102="Integrate",(('Demand Base Matrix'!H$28+'Demand Base Matrix'!H$32)*$AC$2*$AD$2*$AE$2+('Demand Base Matrix'!H$29+'Demand Base Matrix'!H$30)*$W$2*$AD$2+'Demand Base Matrix'!H$31*$W$2*$AD$2*$AE$2+'Demand Base Matrix'!H$33+'Demand Base Matrix'!H$34*$AF$2),IF($C102="Bond",(('Demand Base Matrix'!H$55+'Demand Base Matrix'!H$59)*$AC$2*$AD$2*$AE$2+('Demand Base Matrix'!H$56+'Demand Base Matrix'!H$57)*$W$2*$AD$2+'Demand Base Matrix'!H$58*$W$2*$AD$2*$AE$2+'Demand Base Matrix'!H$60+'Demand Base Matrix'!H$61*$AF$2),IF($C102="Explore",('Demand Base Matrix'!H$82*$AC$2*$AD$2*$AE$2*$AF$2+'Demand Base Matrix'!H$83*$W$2*$AC$2*$AD$2*$AE$2*$AF$2+'Demand Base Matrix'!H$84)))))</f>
        <v>60</v>
      </c>
      <c r="AL102">
        <f>IF($C102="Validate",(('Demand Base Matrix'!I$2+'Demand Base Matrix'!I$6)*$AC$2*$AD$2*$AE$2+('Demand Base Matrix'!I$3+'Demand Base Matrix'!I$4)*$W$2*$AD$2+'Demand Base Matrix'!I$5*$W$2*$AD$2*$AE$2+'Demand Base Matrix'!I$7+'Demand Base Matrix'!I$8*$AF$2),IF($C102="Integrate",(('Demand Base Matrix'!I$28+'Demand Base Matrix'!I$32)*$AC$2*$AD$2*$AE$2+('Demand Base Matrix'!I$29+'Demand Base Matrix'!I$30)*$W$2*$AD$2+'Demand Base Matrix'!I$31*$W$2*$AD$2*$AE$2+'Demand Base Matrix'!I$33+'Demand Base Matrix'!I$34*$AF$2),IF($C102="Bond",(('Demand Base Matrix'!I$55+'Demand Base Matrix'!I$59)*$AC$2*$AD$2*$AE$2+('Demand Base Matrix'!I$56+'Demand Base Matrix'!I$57)*$W$2*$AD$2+'Demand Base Matrix'!I$58*$W$2*$AD$2*$AE$2+'Demand Base Matrix'!I$60+'Demand Base Matrix'!I$61*$AF$2),IF($C102="Explore",('Demand Base Matrix'!I$82*$AC$2*$AD$2*$AE$2*$AF$2+'Demand Base Matrix'!I$83*$W$2*$AC$2*$AD$2*$AE$2*$AF$2+'Demand Base Matrix'!I$84)))))</f>
        <v>10</v>
      </c>
      <c r="AM102">
        <f>IF($C102="Validate",(('Demand Base Matrix'!J$2+'Demand Base Matrix'!J$6)*$AC$2*$AD$2*$AE$2+('Demand Base Matrix'!J$3+'Demand Base Matrix'!J$4)*$W$2*$AD$2+'Demand Base Matrix'!J$5*$W$2*$AD$2*$AE$2+'Demand Base Matrix'!J$7+'Demand Base Matrix'!J$8*$AF$2),IF($C102="Integrate",(('Demand Base Matrix'!J$28+'Demand Base Matrix'!J$32)*$AC$2*$AD$2*$AE$2+('Demand Base Matrix'!J$29+'Demand Base Matrix'!J$30)*$W$2*$AD$2+'Demand Base Matrix'!J$31*$W$2*$AD$2*$AE$2+'Demand Base Matrix'!J$33+'Demand Base Matrix'!J$34*$AF$2),IF($C102="Bond",(('Demand Base Matrix'!J$55+'Demand Base Matrix'!J$59)*$AC$2*$AD$2*$AE$2+('Demand Base Matrix'!J$56+'Demand Base Matrix'!J$57)*$W$2*$AD$2+'Demand Base Matrix'!J$58*$W$2*$AD$2*$AE$2+'Demand Base Matrix'!J$60+'Demand Base Matrix'!J$61*$AF$2),IF($C102="Explore",('Demand Base Matrix'!J$82*$AC$2*$AD$2*$AE$2*$AF$2+'Demand Base Matrix'!J$83*$W$2*$AC$2*$AD$2*$AE$2*$AF$2+'Demand Base Matrix'!J$84)))))</f>
        <v>4</v>
      </c>
    </row>
    <row r="103" spans="1:39" x14ac:dyDescent="0.2">
      <c r="A103" t="s">
        <v>815</v>
      </c>
      <c r="B103" t="s">
        <v>204</v>
      </c>
      <c r="C103" t="s">
        <v>20</v>
      </c>
      <c r="D103" t="s">
        <v>53</v>
      </c>
      <c r="E103" t="s">
        <v>118</v>
      </c>
      <c r="F103" t="s">
        <v>198</v>
      </c>
      <c r="I103" t="str">
        <f>IFERROR(INDEX('Customer 360'!F:F,MATCH(B103,'Customer 360'!A:A,0)),"-")</f>
        <v>A</v>
      </c>
      <c r="J103" s="5">
        <v>5590</v>
      </c>
      <c r="K103" s="5">
        <v>0</v>
      </c>
      <c r="L103" s="4">
        <v>46059</v>
      </c>
      <c r="M103" s="4">
        <v>46055</v>
      </c>
      <c r="N103">
        <v>2026</v>
      </c>
      <c r="O103" s="4">
        <v>46023</v>
      </c>
      <c r="P103" t="s">
        <v>217</v>
      </c>
      <c r="Q103" s="18">
        <f t="shared" si="26"/>
        <v>46023</v>
      </c>
      <c r="R103" s="18">
        <f>IFERROR(IF(M103&lt;&gt;"",M103,IF(L103&lt;&gt;"",L103,INDEX('CSM RDD'!B:B,MATCH(B103,'CSM RDD'!A:A,0)))),"-")</f>
        <v>46055</v>
      </c>
      <c r="S103" s="18">
        <f t="shared" si="27"/>
        <v>46023</v>
      </c>
      <c r="T103" s="18">
        <f t="shared" si="28"/>
        <v>46054</v>
      </c>
      <c r="U103" s="6">
        <f t="shared" si="29"/>
        <v>5590</v>
      </c>
      <c r="V103" s="18">
        <f t="shared" si="32"/>
        <v>46023</v>
      </c>
      <c r="W103">
        <f>IF(U103=0,1,IF(U103&lt;='Demand Base Matrix'!$K$3,'Demand Base Matrix'!$L$3,IF(U103&lt;='Demand Base Matrix'!$K$4,'Demand Base Matrix'!$L$4,IF(U103&lt;='Demand Base Matrix'!$K$5,'Demand Base Matrix'!$L$5,IF(U103&lt;='Demand Base Matrix'!$K$6,'Demand Base Matrix'!$L$6,IF(U103&lt;='Demand Base Matrix'!$K$7,'Demand Base Matrix'!$L$7))))))</f>
        <v>1.25</v>
      </c>
      <c r="X103" s="4">
        <f t="shared" si="30"/>
        <v>46054</v>
      </c>
      <c r="Y103" t="str">
        <f t="shared" si="31"/>
        <v>Dx</v>
      </c>
      <c r="Z103" t="s">
        <v>685</v>
      </c>
      <c r="AA103" t="s">
        <v>685</v>
      </c>
      <c r="AB103" t="s">
        <v>685</v>
      </c>
      <c r="AC103">
        <f>IFERROR(INDEX('Demand Base Matrix'!AM:AM,MATCH(Y103,'Demand Base Matrix'!AL:AL,0)),"-")</f>
        <v>1</v>
      </c>
      <c r="AD103">
        <f>IFERROR(INDEX('Demand Base Matrix'!AO:AO,MATCH(Z103,'Demand Base Matrix'!AN:AN,0)),1)</f>
        <v>1</v>
      </c>
      <c r="AE103">
        <f>IFERROR(INDEX('Demand Base Matrix'!AQ:AQ,MATCH(AA103,'Demand Base Matrix'!AP:AP,0)),1)</f>
        <v>1</v>
      </c>
      <c r="AF103">
        <f>IFERROR(INDEX('Demand Base Matrix'!AS:AS,MATCH(AB103,'Demand Base Matrix'!AR:AR,0)),1)</f>
        <v>1</v>
      </c>
      <c r="AG103">
        <f>IF($C103="Validate",(('Demand Base Matrix'!D$2+'Demand Base Matrix'!D$6)*$AC$2*$AD$2*$AE$2+('Demand Base Matrix'!D$3+'Demand Base Matrix'!D$4)*$W$2*$AD$2+'Demand Base Matrix'!D$5*$W$2*$AD$2*$AE$2+'Demand Base Matrix'!D$7+'Demand Base Matrix'!D$8*$AF$2),IF($C103="Integrate",(('Demand Base Matrix'!D$28+'Demand Base Matrix'!D$32)*$AC$2*$AD$2*$AE$2+('Demand Base Matrix'!D$29+'Demand Base Matrix'!D$30)*$W$2*$AD$2+'Demand Base Matrix'!D$31*$W$2*$AD$2*$AE$2+'Demand Base Matrix'!D$33+'Demand Base Matrix'!D$34*$AF$2),IF($C103="Bond",(('Demand Base Matrix'!D$55+'Demand Base Matrix'!D$59)*$AC$2*$AD$2*$AE$2+('Demand Base Matrix'!D$56+'Demand Base Matrix'!D$57)*$W$2*$AD$2+'Demand Base Matrix'!D$58*$W$2*$AD$2*$AE$2+'Demand Base Matrix'!D$60+'Demand Base Matrix'!D$61*$AF$2),IF($C103="Explore",('Demand Base Matrix'!D$82*$AC$2*$AD$2*$AE$2*$AF$2+'Demand Base Matrix'!D$83*$W$2*$AC$2*$AD$2*$AE$2*$AF$2+'Demand Base Matrix'!D$84)))))</f>
        <v>15</v>
      </c>
      <c r="AH103">
        <f>IF($C103="Validate",(('Demand Base Matrix'!E$2+'Demand Base Matrix'!E$6)*$AC$2*$AD$2*$AE$2+('Demand Base Matrix'!E$3+'Demand Base Matrix'!E$4)*$W$2*$AD$2+'Demand Base Matrix'!E$5*$W$2*$AD$2*$AE$2+'Demand Base Matrix'!E$7+'Demand Base Matrix'!E$8*$AF$2),IF($C103="Integrate",(('Demand Base Matrix'!E$28+'Demand Base Matrix'!E$32)*$AC$2*$AD$2*$AE$2+('Demand Base Matrix'!E$29+'Demand Base Matrix'!E$30)*$W$2*$AD$2+'Demand Base Matrix'!E$31*$W$2*$AD$2*$AE$2+'Demand Base Matrix'!E$33+'Demand Base Matrix'!E$34*$AF$2),IF($C103="Bond",(('Demand Base Matrix'!E$55+'Demand Base Matrix'!E$59)*$AC$2*$AD$2*$AE$2+('Demand Base Matrix'!E$56+'Demand Base Matrix'!E$57)*$W$2*$AD$2+'Demand Base Matrix'!E$58*$W$2*$AD$2*$AE$2+'Demand Base Matrix'!E$60+'Demand Base Matrix'!E$61*$AF$2),IF($C103="Explore",('Demand Base Matrix'!E$82*$AC$2*$AD$2*$AE$2*$AF$2+'Demand Base Matrix'!E$83*$W$2*$AC$2*$AD$2*$AE$2*$AF$2+'Demand Base Matrix'!E$84)))))</f>
        <v>15</v>
      </c>
      <c r="AI103">
        <f>IF($C103="Validate",(('Demand Base Matrix'!F$2+'Demand Base Matrix'!F$6)*$AC$2*$AD$2*$AE$2+('Demand Base Matrix'!F$3+'Demand Base Matrix'!F$4)*$W$2*$AD$2+'Demand Base Matrix'!F$5*$W$2*$AD$2*$AE$2+'Demand Base Matrix'!F$7+'Demand Base Matrix'!F$8*$AF$2),IF($C103="Integrate",(('Demand Base Matrix'!F$28+'Demand Base Matrix'!F$32)*$AC$2*$AD$2*$AE$2+('Demand Base Matrix'!F$29+'Demand Base Matrix'!F$30)*$W$2*$AD$2+'Demand Base Matrix'!F$31*$W$2*$AD$2*$AE$2+'Demand Base Matrix'!F$33+'Demand Base Matrix'!F$34*$AF$2),IF($C103="Bond",(('Demand Base Matrix'!F$55+'Demand Base Matrix'!F$59)*$AC$2*$AD$2*$AE$2+('Demand Base Matrix'!F$56+'Demand Base Matrix'!F$57)*$W$2*$AD$2+'Demand Base Matrix'!F$58*$W$2*$AD$2*$AE$2+'Demand Base Matrix'!F$60+'Demand Base Matrix'!F$61*$AF$2),IF($C103="Explore",('Demand Base Matrix'!F$82*$AC$2*$AD$2*$AE$2*$AF$2+'Demand Base Matrix'!F$83*$W$2*$AC$2*$AD$2*$AE$2*$AF$2+'Demand Base Matrix'!F$84)))))</f>
        <v>7</v>
      </c>
      <c r="AJ103">
        <f>IF($C103="Validate",(('Demand Base Matrix'!G$2+'Demand Base Matrix'!G$6)*$AC$2*$AD$2*$AE$2+('Demand Base Matrix'!G$3+'Demand Base Matrix'!G$4)*$W$2*$AD$2+'Demand Base Matrix'!G$5*$W$2*$AD$2*$AE$2+'Demand Base Matrix'!G$7+'Demand Base Matrix'!G$8*$AF$2),IF($C103="Integrate",(('Demand Base Matrix'!G$28+'Demand Base Matrix'!G$32)*$AC$2*$AD$2*$AE$2+('Demand Base Matrix'!G$29+'Demand Base Matrix'!G$30)*$W$2*$AD$2+'Demand Base Matrix'!G$31*$W$2*$AD$2*$AE$2+'Demand Base Matrix'!G$33+'Demand Base Matrix'!G$34*$AF$2),IF($C103="Bond",(('Demand Base Matrix'!G$55+'Demand Base Matrix'!G$59)*$AC$2*$AD$2*$AE$2+('Demand Base Matrix'!G$56+'Demand Base Matrix'!G$57)*$W$2*$AD$2+'Demand Base Matrix'!G$58*$W$2*$AD$2*$AE$2+'Demand Base Matrix'!G$60+'Demand Base Matrix'!G$61*$AF$2),IF($C103="Explore",('Demand Base Matrix'!G$82*$AC$2*$AD$2*$AE$2*$AF$2+'Demand Base Matrix'!G$83*$W$2*$AC$2*$AD$2*$AE$2*$AF$2+'Demand Base Matrix'!G$84)))))</f>
        <v>40</v>
      </c>
      <c r="AK103">
        <f>IF($C103="Validate",(('Demand Base Matrix'!H$2+'Demand Base Matrix'!H$6)*$AC$2*$AD$2*$AE$2+('Demand Base Matrix'!H$3+'Demand Base Matrix'!H$4)*$W$2*$AD$2+'Demand Base Matrix'!H$5*$W$2*$AD$2*$AE$2+'Demand Base Matrix'!H$7+'Demand Base Matrix'!H$8*$AF$2),IF($C103="Integrate",(('Demand Base Matrix'!H$28+'Demand Base Matrix'!H$32)*$AC$2*$AD$2*$AE$2+('Demand Base Matrix'!H$29+'Demand Base Matrix'!H$30)*$W$2*$AD$2+'Demand Base Matrix'!H$31*$W$2*$AD$2*$AE$2+'Demand Base Matrix'!H$33+'Demand Base Matrix'!H$34*$AF$2),IF($C103="Bond",(('Demand Base Matrix'!H$55+'Demand Base Matrix'!H$59)*$AC$2*$AD$2*$AE$2+('Demand Base Matrix'!H$56+'Demand Base Matrix'!H$57)*$W$2*$AD$2+'Demand Base Matrix'!H$58*$W$2*$AD$2*$AE$2+'Demand Base Matrix'!H$60+'Demand Base Matrix'!H$61*$AF$2),IF($C103="Explore",('Demand Base Matrix'!H$82*$AC$2*$AD$2*$AE$2*$AF$2+'Demand Base Matrix'!H$83*$W$2*$AC$2*$AD$2*$AE$2*$AF$2+'Demand Base Matrix'!H$84)))))</f>
        <v>60</v>
      </c>
      <c r="AL103">
        <f>IF($C103="Validate",(('Demand Base Matrix'!I$2+'Demand Base Matrix'!I$6)*$AC$2*$AD$2*$AE$2+('Demand Base Matrix'!I$3+'Demand Base Matrix'!I$4)*$W$2*$AD$2+'Demand Base Matrix'!I$5*$W$2*$AD$2*$AE$2+'Demand Base Matrix'!I$7+'Demand Base Matrix'!I$8*$AF$2),IF($C103="Integrate",(('Demand Base Matrix'!I$28+'Demand Base Matrix'!I$32)*$AC$2*$AD$2*$AE$2+('Demand Base Matrix'!I$29+'Demand Base Matrix'!I$30)*$W$2*$AD$2+'Demand Base Matrix'!I$31*$W$2*$AD$2*$AE$2+'Demand Base Matrix'!I$33+'Demand Base Matrix'!I$34*$AF$2),IF($C103="Bond",(('Demand Base Matrix'!I$55+'Demand Base Matrix'!I$59)*$AC$2*$AD$2*$AE$2+('Demand Base Matrix'!I$56+'Demand Base Matrix'!I$57)*$W$2*$AD$2+'Demand Base Matrix'!I$58*$W$2*$AD$2*$AE$2+'Demand Base Matrix'!I$60+'Demand Base Matrix'!I$61*$AF$2),IF($C103="Explore",('Demand Base Matrix'!I$82*$AC$2*$AD$2*$AE$2*$AF$2+'Demand Base Matrix'!I$83*$W$2*$AC$2*$AD$2*$AE$2*$AF$2+'Demand Base Matrix'!I$84)))))</f>
        <v>10</v>
      </c>
      <c r="AM103">
        <f>IF($C103="Validate",(('Demand Base Matrix'!J$2+'Demand Base Matrix'!J$6)*$AC$2*$AD$2*$AE$2+('Demand Base Matrix'!J$3+'Demand Base Matrix'!J$4)*$W$2*$AD$2+'Demand Base Matrix'!J$5*$W$2*$AD$2*$AE$2+'Demand Base Matrix'!J$7+'Demand Base Matrix'!J$8*$AF$2),IF($C103="Integrate",(('Demand Base Matrix'!J$28+'Demand Base Matrix'!J$32)*$AC$2*$AD$2*$AE$2+('Demand Base Matrix'!J$29+'Demand Base Matrix'!J$30)*$W$2*$AD$2+'Demand Base Matrix'!J$31*$W$2*$AD$2*$AE$2+'Demand Base Matrix'!J$33+'Demand Base Matrix'!J$34*$AF$2),IF($C103="Bond",(('Demand Base Matrix'!J$55+'Demand Base Matrix'!J$59)*$AC$2*$AD$2*$AE$2+('Demand Base Matrix'!J$56+'Demand Base Matrix'!J$57)*$W$2*$AD$2+'Demand Base Matrix'!J$58*$W$2*$AD$2*$AE$2+'Demand Base Matrix'!J$60+'Demand Base Matrix'!J$61*$AF$2),IF($C103="Explore",('Demand Base Matrix'!J$82*$AC$2*$AD$2*$AE$2*$AF$2+'Demand Base Matrix'!J$83*$W$2*$AC$2*$AD$2*$AE$2*$AF$2+'Demand Base Matrix'!J$84)))))</f>
        <v>4</v>
      </c>
    </row>
    <row r="104" spans="1:39" x14ac:dyDescent="0.2">
      <c r="A104" t="s">
        <v>816</v>
      </c>
      <c r="B104" t="s">
        <v>227</v>
      </c>
      <c r="C104" t="s">
        <v>20</v>
      </c>
      <c r="D104" t="s">
        <v>36</v>
      </c>
      <c r="E104" t="s">
        <v>116</v>
      </c>
      <c r="F104" t="s">
        <v>800</v>
      </c>
      <c r="I104" t="str">
        <f>IFERROR(INDEX('Customer 360'!F:F,MATCH(B104,'Customer 360'!A:A,0)),"-")</f>
        <v>C</v>
      </c>
      <c r="J104" s="5">
        <v>250</v>
      </c>
      <c r="K104" s="5">
        <v>0</v>
      </c>
      <c r="L104" s="4">
        <v>45979</v>
      </c>
      <c r="M104" s="4">
        <v>46034</v>
      </c>
      <c r="N104">
        <v>2026</v>
      </c>
      <c r="O104" s="4">
        <v>46023</v>
      </c>
      <c r="P104" t="s">
        <v>217</v>
      </c>
      <c r="Q104" s="18">
        <f t="shared" si="26"/>
        <v>46023</v>
      </c>
      <c r="R104" s="18">
        <f>IFERROR(IF(M104&lt;&gt;"",M104,IF(L104&lt;&gt;"",L104,INDEX('CSM RDD'!B:B,MATCH(B104,'CSM RDD'!A:A,0)))),"-")</f>
        <v>46034</v>
      </c>
      <c r="S104" s="18">
        <f t="shared" si="27"/>
        <v>46023</v>
      </c>
      <c r="T104" s="18">
        <f t="shared" si="28"/>
        <v>46023</v>
      </c>
      <c r="U104" s="6">
        <f t="shared" si="29"/>
        <v>250</v>
      </c>
      <c r="V104" s="18">
        <f t="shared" si="32"/>
        <v>46023</v>
      </c>
      <c r="W104">
        <f>IF(U104=0,1,IF(U104&lt;='Demand Base Matrix'!$K$3,'Demand Base Matrix'!$L$3,IF(U104&lt;='Demand Base Matrix'!$K$4,'Demand Base Matrix'!$L$4,IF(U104&lt;='Demand Base Matrix'!$K$5,'Demand Base Matrix'!$L$5,IF(U104&lt;='Demand Base Matrix'!$K$6,'Demand Base Matrix'!$L$6,IF(U104&lt;='Demand Base Matrix'!$K$7,'Demand Base Matrix'!$L$7))))))</f>
        <v>0.75</v>
      </c>
      <c r="X104" s="4">
        <f t="shared" si="30"/>
        <v>46023</v>
      </c>
      <c r="Y104" t="str">
        <f t="shared" si="31"/>
        <v>Dx</v>
      </c>
      <c r="Z104" t="s">
        <v>685</v>
      </c>
      <c r="AA104" t="s">
        <v>685</v>
      </c>
      <c r="AB104" t="s">
        <v>685</v>
      </c>
      <c r="AC104">
        <f>IFERROR(INDEX('Demand Base Matrix'!AM:AM,MATCH(Y104,'Demand Base Matrix'!AL:AL,0)),"-")</f>
        <v>1</v>
      </c>
      <c r="AD104">
        <f>IFERROR(INDEX('Demand Base Matrix'!AO:AO,MATCH(Z104,'Demand Base Matrix'!AN:AN,0)),1)</f>
        <v>1</v>
      </c>
      <c r="AE104">
        <f>IFERROR(INDEX('Demand Base Matrix'!AQ:AQ,MATCH(AA104,'Demand Base Matrix'!AP:AP,0)),1)</f>
        <v>1</v>
      </c>
      <c r="AF104">
        <f>IFERROR(INDEX('Demand Base Matrix'!AS:AS,MATCH(AB104,'Demand Base Matrix'!AR:AR,0)),1)</f>
        <v>1</v>
      </c>
      <c r="AG104">
        <f>IF($C104="Validate",(('Demand Base Matrix'!D$2+'Demand Base Matrix'!D$6)*$AC$2*$AD$2*$AE$2+('Demand Base Matrix'!D$3+'Demand Base Matrix'!D$4)*$W$2*$AD$2+'Demand Base Matrix'!D$5*$W$2*$AD$2*$AE$2+'Demand Base Matrix'!D$7+'Demand Base Matrix'!D$8*$AF$2),IF($C104="Integrate",(('Demand Base Matrix'!D$28+'Demand Base Matrix'!D$32)*$AC$2*$AD$2*$AE$2+('Demand Base Matrix'!D$29+'Demand Base Matrix'!D$30)*$W$2*$AD$2+'Demand Base Matrix'!D$31*$W$2*$AD$2*$AE$2+'Demand Base Matrix'!D$33+'Demand Base Matrix'!D$34*$AF$2),IF($C104="Bond",(('Demand Base Matrix'!D$55+'Demand Base Matrix'!D$59)*$AC$2*$AD$2*$AE$2+('Demand Base Matrix'!D$56+'Demand Base Matrix'!D$57)*$W$2*$AD$2+'Demand Base Matrix'!D$58*$W$2*$AD$2*$AE$2+'Demand Base Matrix'!D$60+'Demand Base Matrix'!D$61*$AF$2),IF($C104="Explore",('Demand Base Matrix'!D$82*$AC$2*$AD$2*$AE$2*$AF$2+'Demand Base Matrix'!D$83*$W$2*$AC$2*$AD$2*$AE$2*$AF$2+'Demand Base Matrix'!D$84)))))</f>
        <v>15</v>
      </c>
      <c r="AH104">
        <f>IF($C104="Validate",(('Demand Base Matrix'!E$2+'Demand Base Matrix'!E$6)*$AC$2*$AD$2*$AE$2+('Demand Base Matrix'!E$3+'Demand Base Matrix'!E$4)*$W$2*$AD$2+'Demand Base Matrix'!E$5*$W$2*$AD$2*$AE$2+'Demand Base Matrix'!E$7+'Demand Base Matrix'!E$8*$AF$2),IF($C104="Integrate",(('Demand Base Matrix'!E$28+'Demand Base Matrix'!E$32)*$AC$2*$AD$2*$AE$2+('Demand Base Matrix'!E$29+'Demand Base Matrix'!E$30)*$W$2*$AD$2+'Demand Base Matrix'!E$31*$W$2*$AD$2*$AE$2+'Demand Base Matrix'!E$33+'Demand Base Matrix'!E$34*$AF$2),IF($C104="Bond",(('Demand Base Matrix'!E$55+'Demand Base Matrix'!E$59)*$AC$2*$AD$2*$AE$2+('Demand Base Matrix'!E$56+'Demand Base Matrix'!E$57)*$W$2*$AD$2+'Demand Base Matrix'!E$58*$W$2*$AD$2*$AE$2+'Demand Base Matrix'!E$60+'Demand Base Matrix'!E$61*$AF$2),IF($C104="Explore",('Demand Base Matrix'!E$82*$AC$2*$AD$2*$AE$2*$AF$2+'Demand Base Matrix'!E$83*$W$2*$AC$2*$AD$2*$AE$2*$AF$2+'Demand Base Matrix'!E$84)))))</f>
        <v>15</v>
      </c>
      <c r="AI104">
        <f>IF($C104="Validate",(('Demand Base Matrix'!F$2+'Demand Base Matrix'!F$6)*$AC$2*$AD$2*$AE$2+('Demand Base Matrix'!F$3+'Demand Base Matrix'!F$4)*$W$2*$AD$2+'Demand Base Matrix'!F$5*$W$2*$AD$2*$AE$2+'Demand Base Matrix'!F$7+'Demand Base Matrix'!F$8*$AF$2),IF($C104="Integrate",(('Demand Base Matrix'!F$28+'Demand Base Matrix'!F$32)*$AC$2*$AD$2*$AE$2+('Demand Base Matrix'!F$29+'Demand Base Matrix'!F$30)*$W$2*$AD$2+'Demand Base Matrix'!F$31*$W$2*$AD$2*$AE$2+'Demand Base Matrix'!F$33+'Demand Base Matrix'!F$34*$AF$2),IF($C104="Bond",(('Demand Base Matrix'!F$55+'Demand Base Matrix'!F$59)*$AC$2*$AD$2*$AE$2+('Demand Base Matrix'!F$56+'Demand Base Matrix'!F$57)*$W$2*$AD$2+'Demand Base Matrix'!F$58*$W$2*$AD$2*$AE$2+'Demand Base Matrix'!F$60+'Demand Base Matrix'!F$61*$AF$2),IF($C104="Explore",('Demand Base Matrix'!F$82*$AC$2*$AD$2*$AE$2*$AF$2+'Demand Base Matrix'!F$83*$W$2*$AC$2*$AD$2*$AE$2*$AF$2+'Demand Base Matrix'!F$84)))))</f>
        <v>7</v>
      </c>
      <c r="AJ104">
        <f>IF($C104="Validate",(('Demand Base Matrix'!G$2+'Demand Base Matrix'!G$6)*$AC$2*$AD$2*$AE$2+('Demand Base Matrix'!G$3+'Demand Base Matrix'!G$4)*$W$2*$AD$2+'Demand Base Matrix'!G$5*$W$2*$AD$2*$AE$2+'Demand Base Matrix'!G$7+'Demand Base Matrix'!G$8*$AF$2),IF($C104="Integrate",(('Demand Base Matrix'!G$28+'Demand Base Matrix'!G$32)*$AC$2*$AD$2*$AE$2+('Demand Base Matrix'!G$29+'Demand Base Matrix'!G$30)*$W$2*$AD$2+'Demand Base Matrix'!G$31*$W$2*$AD$2*$AE$2+'Demand Base Matrix'!G$33+'Demand Base Matrix'!G$34*$AF$2),IF($C104="Bond",(('Demand Base Matrix'!G$55+'Demand Base Matrix'!G$59)*$AC$2*$AD$2*$AE$2+('Demand Base Matrix'!G$56+'Demand Base Matrix'!G$57)*$W$2*$AD$2+'Demand Base Matrix'!G$58*$W$2*$AD$2*$AE$2+'Demand Base Matrix'!G$60+'Demand Base Matrix'!G$61*$AF$2),IF($C104="Explore",('Demand Base Matrix'!G$82*$AC$2*$AD$2*$AE$2*$AF$2+'Demand Base Matrix'!G$83*$W$2*$AC$2*$AD$2*$AE$2*$AF$2+'Demand Base Matrix'!G$84)))))</f>
        <v>40</v>
      </c>
      <c r="AK104">
        <f>IF($C104="Validate",(('Demand Base Matrix'!H$2+'Demand Base Matrix'!H$6)*$AC$2*$AD$2*$AE$2+('Demand Base Matrix'!H$3+'Demand Base Matrix'!H$4)*$W$2*$AD$2+'Demand Base Matrix'!H$5*$W$2*$AD$2*$AE$2+'Demand Base Matrix'!H$7+'Demand Base Matrix'!H$8*$AF$2),IF($C104="Integrate",(('Demand Base Matrix'!H$28+'Demand Base Matrix'!H$32)*$AC$2*$AD$2*$AE$2+('Demand Base Matrix'!H$29+'Demand Base Matrix'!H$30)*$W$2*$AD$2+'Demand Base Matrix'!H$31*$W$2*$AD$2*$AE$2+'Demand Base Matrix'!H$33+'Demand Base Matrix'!H$34*$AF$2),IF($C104="Bond",(('Demand Base Matrix'!H$55+'Demand Base Matrix'!H$59)*$AC$2*$AD$2*$AE$2+('Demand Base Matrix'!H$56+'Demand Base Matrix'!H$57)*$W$2*$AD$2+'Demand Base Matrix'!H$58*$W$2*$AD$2*$AE$2+'Demand Base Matrix'!H$60+'Demand Base Matrix'!H$61*$AF$2),IF($C104="Explore",('Demand Base Matrix'!H$82*$AC$2*$AD$2*$AE$2*$AF$2+'Demand Base Matrix'!H$83*$W$2*$AC$2*$AD$2*$AE$2*$AF$2+'Demand Base Matrix'!H$84)))))</f>
        <v>60</v>
      </c>
      <c r="AL104">
        <f>IF($C104="Validate",(('Demand Base Matrix'!I$2+'Demand Base Matrix'!I$6)*$AC$2*$AD$2*$AE$2+('Demand Base Matrix'!I$3+'Demand Base Matrix'!I$4)*$W$2*$AD$2+'Demand Base Matrix'!I$5*$W$2*$AD$2*$AE$2+'Demand Base Matrix'!I$7+'Demand Base Matrix'!I$8*$AF$2),IF($C104="Integrate",(('Demand Base Matrix'!I$28+'Demand Base Matrix'!I$32)*$AC$2*$AD$2*$AE$2+('Demand Base Matrix'!I$29+'Demand Base Matrix'!I$30)*$W$2*$AD$2+'Demand Base Matrix'!I$31*$W$2*$AD$2*$AE$2+'Demand Base Matrix'!I$33+'Demand Base Matrix'!I$34*$AF$2),IF($C104="Bond",(('Demand Base Matrix'!I$55+'Demand Base Matrix'!I$59)*$AC$2*$AD$2*$AE$2+('Demand Base Matrix'!I$56+'Demand Base Matrix'!I$57)*$W$2*$AD$2+'Demand Base Matrix'!I$58*$W$2*$AD$2*$AE$2+'Demand Base Matrix'!I$60+'Demand Base Matrix'!I$61*$AF$2),IF($C104="Explore",('Demand Base Matrix'!I$82*$AC$2*$AD$2*$AE$2*$AF$2+'Demand Base Matrix'!I$83*$W$2*$AC$2*$AD$2*$AE$2*$AF$2+'Demand Base Matrix'!I$84)))))</f>
        <v>10</v>
      </c>
      <c r="AM104">
        <f>IF($C104="Validate",(('Demand Base Matrix'!J$2+'Demand Base Matrix'!J$6)*$AC$2*$AD$2*$AE$2+('Demand Base Matrix'!J$3+'Demand Base Matrix'!J$4)*$W$2*$AD$2+'Demand Base Matrix'!J$5*$W$2*$AD$2*$AE$2+'Demand Base Matrix'!J$7+'Demand Base Matrix'!J$8*$AF$2),IF($C104="Integrate",(('Demand Base Matrix'!J$28+'Demand Base Matrix'!J$32)*$AC$2*$AD$2*$AE$2+('Demand Base Matrix'!J$29+'Demand Base Matrix'!J$30)*$W$2*$AD$2+'Demand Base Matrix'!J$31*$W$2*$AD$2*$AE$2+'Demand Base Matrix'!J$33+'Demand Base Matrix'!J$34*$AF$2),IF($C104="Bond",(('Demand Base Matrix'!J$55+'Demand Base Matrix'!J$59)*$AC$2*$AD$2*$AE$2+('Demand Base Matrix'!J$56+'Demand Base Matrix'!J$57)*$W$2*$AD$2+'Demand Base Matrix'!J$58*$W$2*$AD$2*$AE$2+'Demand Base Matrix'!J$60+'Demand Base Matrix'!J$61*$AF$2),IF($C104="Explore",('Demand Base Matrix'!J$82*$AC$2*$AD$2*$AE$2*$AF$2+'Demand Base Matrix'!J$83*$W$2*$AC$2*$AD$2*$AE$2*$AF$2+'Demand Base Matrix'!J$84)))))</f>
        <v>4</v>
      </c>
    </row>
    <row r="105" spans="1:39" x14ac:dyDescent="0.2">
      <c r="A105" t="s">
        <v>95</v>
      </c>
      <c r="B105" t="s">
        <v>96</v>
      </c>
      <c r="C105" t="s">
        <v>23</v>
      </c>
      <c r="D105" t="s">
        <v>694</v>
      </c>
      <c r="E105" t="s">
        <v>118</v>
      </c>
      <c r="F105" t="s">
        <v>109</v>
      </c>
      <c r="I105" t="str">
        <f>IFERROR(INDEX('Customer 360'!F:F,MATCH(B105,'Customer 360'!A:A,0)),"-")</f>
        <v>B</v>
      </c>
      <c r="J105" s="5">
        <v>2105</v>
      </c>
      <c r="K105" s="5">
        <v>0</v>
      </c>
      <c r="L105" s="4">
        <v>46037</v>
      </c>
      <c r="M105" s="4">
        <v>46094</v>
      </c>
      <c r="N105">
        <v>2026</v>
      </c>
      <c r="O105" s="4">
        <v>46023</v>
      </c>
      <c r="P105" t="s">
        <v>217</v>
      </c>
      <c r="Q105" s="18">
        <f t="shared" si="26"/>
        <v>46023</v>
      </c>
      <c r="R105" s="18">
        <f>IFERROR(IF(M105&lt;&gt;"",M105,IF(L105&lt;&gt;"",L105,INDEX('CSM RDD'!B:B,MATCH(B105,'CSM RDD'!A:A,0)))),"-")</f>
        <v>46094</v>
      </c>
      <c r="S105" s="18">
        <f t="shared" si="27"/>
        <v>46023</v>
      </c>
      <c r="T105" s="18">
        <f t="shared" si="28"/>
        <v>46082</v>
      </c>
      <c r="U105" s="6">
        <f t="shared" si="29"/>
        <v>2105</v>
      </c>
      <c r="V105" s="18">
        <f t="shared" si="32"/>
        <v>46082</v>
      </c>
      <c r="W105">
        <f>IF(U105=0,1,IF(U105&lt;='Demand Base Matrix'!$K$3,'Demand Base Matrix'!$L$3,IF(U105&lt;='Demand Base Matrix'!$K$4,'Demand Base Matrix'!$L$4,IF(U105&lt;='Demand Base Matrix'!$K$5,'Demand Base Matrix'!$L$5,IF(U105&lt;='Demand Base Matrix'!$K$6,'Demand Base Matrix'!$L$6,IF(U105&lt;='Demand Base Matrix'!$K$7,'Demand Base Matrix'!$L$7))))))</f>
        <v>1</v>
      </c>
      <c r="X105" s="4">
        <f t="shared" si="30"/>
        <v>46082</v>
      </c>
      <c r="Y105" t="str">
        <f t="shared" si="31"/>
        <v>Dx</v>
      </c>
      <c r="Z105" t="s">
        <v>685</v>
      </c>
      <c r="AA105" t="s">
        <v>685</v>
      </c>
      <c r="AB105" t="s">
        <v>685</v>
      </c>
      <c r="AC105">
        <f>IFERROR(INDEX('Demand Base Matrix'!AM:AM,MATCH(Y105,'Demand Base Matrix'!AL:AL,0)),"-")</f>
        <v>1</v>
      </c>
      <c r="AD105">
        <f>IFERROR(INDEX('Demand Base Matrix'!AO:AO,MATCH(Z105,'Demand Base Matrix'!AN:AN,0)),1)</f>
        <v>1</v>
      </c>
      <c r="AE105">
        <f>IFERROR(INDEX('Demand Base Matrix'!AQ:AQ,MATCH(AA105,'Demand Base Matrix'!AP:AP,0)),1)</f>
        <v>1</v>
      </c>
      <c r="AF105">
        <f>IFERROR(INDEX('Demand Base Matrix'!AS:AS,MATCH(AB105,'Demand Base Matrix'!AR:AR,0)),1)</f>
        <v>1</v>
      </c>
      <c r="AG105">
        <f>IF($C105="Validate",(('Demand Base Matrix'!D$2+'Demand Base Matrix'!D$6)*$AC$2*$AD$2*$AE$2+('Demand Base Matrix'!D$3+'Demand Base Matrix'!D$4)*$W$2*$AD$2+'Demand Base Matrix'!D$5*$W$2*$AD$2*$AE$2+'Demand Base Matrix'!D$7+'Demand Base Matrix'!D$8*$AF$2),IF($C105="Integrate",(('Demand Base Matrix'!D$28+'Demand Base Matrix'!D$32)*$AC$2*$AD$2*$AE$2+('Demand Base Matrix'!D$29+'Demand Base Matrix'!D$30)*$W$2*$AD$2+'Demand Base Matrix'!D$31*$W$2*$AD$2*$AE$2+'Demand Base Matrix'!D$33+'Demand Base Matrix'!D$34*$AF$2),IF($C105="Bond",(('Demand Base Matrix'!D$55+'Demand Base Matrix'!D$59)*$AC$2*$AD$2*$AE$2+('Demand Base Matrix'!D$56+'Demand Base Matrix'!D$57)*$W$2*$AD$2+'Demand Base Matrix'!D$58*$W$2*$AD$2*$AE$2+'Demand Base Matrix'!D$60+'Demand Base Matrix'!D$61*$AF$2),IF($C105="Explore",('Demand Base Matrix'!D$82*$AC$2*$AD$2*$AE$2*$AF$2+'Demand Base Matrix'!D$83*$W$2*$AC$2*$AD$2*$AE$2*$AF$2+'Demand Base Matrix'!D$84)))))</f>
        <v>10</v>
      </c>
      <c r="AH105">
        <f>IF($C105="Validate",(('Demand Base Matrix'!E$2+'Demand Base Matrix'!E$6)*$AC$2*$AD$2*$AE$2+('Demand Base Matrix'!E$3+'Demand Base Matrix'!E$4)*$W$2*$AD$2+'Demand Base Matrix'!E$5*$W$2*$AD$2*$AE$2+'Demand Base Matrix'!E$7+'Demand Base Matrix'!E$8*$AF$2),IF($C105="Integrate",(('Demand Base Matrix'!E$28+'Demand Base Matrix'!E$32)*$AC$2*$AD$2*$AE$2+('Demand Base Matrix'!E$29+'Demand Base Matrix'!E$30)*$W$2*$AD$2+'Demand Base Matrix'!E$31*$W$2*$AD$2*$AE$2+'Demand Base Matrix'!E$33+'Demand Base Matrix'!E$34*$AF$2),IF($C105="Bond",(('Demand Base Matrix'!E$55+'Demand Base Matrix'!E$59)*$AC$2*$AD$2*$AE$2+('Demand Base Matrix'!E$56+'Demand Base Matrix'!E$57)*$W$2*$AD$2+'Demand Base Matrix'!E$58*$W$2*$AD$2*$AE$2+'Demand Base Matrix'!E$60+'Demand Base Matrix'!E$61*$AF$2),IF($C105="Explore",('Demand Base Matrix'!E$82*$AC$2*$AD$2*$AE$2*$AF$2+'Demand Base Matrix'!E$83*$W$2*$AC$2*$AD$2*$AE$2*$AF$2+'Demand Base Matrix'!E$84)))))</f>
        <v>10</v>
      </c>
      <c r="AI105">
        <f>IF($C105="Validate",(('Demand Base Matrix'!F$2+'Demand Base Matrix'!F$6)*$AC$2*$AD$2*$AE$2+('Demand Base Matrix'!F$3+'Demand Base Matrix'!F$4)*$W$2*$AD$2+'Demand Base Matrix'!F$5*$W$2*$AD$2*$AE$2+'Demand Base Matrix'!F$7+'Demand Base Matrix'!F$8*$AF$2),IF($C105="Integrate",(('Demand Base Matrix'!F$28+'Demand Base Matrix'!F$32)*$AC$2*$AD$2*$AE$2+('Demand Base Matrix'!F$29+'Demand Base Matrix'!F$30)*$W$2*$AD$2+'Demand Base Matrix'!F$31*$W$2*$AD$2*$AE$2+'Demand Base Matrix'!F$33+'Demand Base Matrix'!F$34*$AF$2),IF($C105="Bond",(('Demand Base Matrix'!F$55+'Demand Base Matrix'!F$59)*$AC$2*$AD$2*$AE$2+('Demand Base Matrix'!F$56+'Demand Base Matrix'!F$57)*$W$2*$AD$2+'Demand Base Matrix'!F$58*$W$2*$AD$2*$AE$2+'Demand Base Matrix'!F$60+'Demand Base Matrix'!F$61*$AF$2),IF($C105="Explore",('Demand Base Matrix'!F$82*$AC$2*$AD$2*$AE$2*$AF$2+'Demand Base Matrix'!F$83*$W$2*$AC$2*$AD$2*$AE$2*$AF$2+'Demand Base Matrix'!F$84)))))</f>
        <v>10</v>
      </c>
      <c r="AJ105">
        <f>IF($C105="Validate",(('Demand Base Matrix'!G$2+'Demand Base Matrix'!G$6)*$AC$2*$AD$2*$AE$2+('Demand Base Matrix'!G$3+'Demand Base Matrix'!G$4)*$W$2*$AD$2+'Demand Base Matrix'!G$5*$W$2*$AD$2*$AE$2+'Demand Base Matrix'!G$7+'Demand Base Matrix'!G$8*$AF$2),IF($C105="Integrate",(('Demand Base Matrix'!G$28+'Demand Base Matrix'!G$32)*$AC$2*$AD$2*$AE$2+('Demand Base Matrix'!G$29+'Demand Base Matrix'!G$30)*$W$2*$AD$2+'Demand Base Matrix'!G$31*$W$2*$AD$2*$AE$2+'Demand Base Matrix'!G$33+'Demand Base Matrix'!G$34*$AF$2),IF($C105="Bond",(('Demand Base Matrix'!G$55+'Demand Base Matrix'!G$59)*$AC$2*$AD$2*$AE$2+('Demand Base Matrix'!G$56+'Demand Base Matrix'!G$57)*$W$2*$AD$2+'Demand Base Matrix'!G$58*$W$2*$AD$2*$AE$2+'Demand Base Matrix'!G$60+'Demand Base Matrix'!G$61*$AF$2),IF($C105="Explore",('Demand Base Matrix'!G$82*$AC$2*$AD$2*$AE$2*$AF$2+'Demand Base Matrix'!G$83*$W$2*$AC$2*$AD$2*$AE$2*$AF$2+'Demand Base Matrix'!G$84)))))</f>
        <v>50</v>
      </c>
      <c r="AK105">
        <f>IF($C105="Validate",(('Demand Base Matrix'!H$2+'Demand Base Matrix'!H$6)*$AC$2*$AD$2*$AE$2+('Demand Base Matrix'!H$3+'Demand Base Matrix'!H$4)*$W$2*$AD$2+'Demand Base Matrix'!H$5*$W$2*$AD$2*$AE$2+'Demand Base Matrix'!H$7+'Demand Base Matrix'!H$8*$AF$2),IF($C105="Integrate",(('Demand Base Matrix'!H$28+'Demand Base Matrix'!H$32)*$AC$2*$AD$2*$AE$2+('Demand Base Matrix'!H$29+'Demand Base Matrix'!H$30)*$W$2*$AD$2+'Demand Base Matrix'!H$31*$W$2*$AD$2*$AE$2+'Demand Base Matrix'!H$33+'Demand Base Matrix'!H$34*$AF$2),IF($C105="Bond",(('Demand Base Matrix'!H$55+'Demand Base Matrix'!H$59)*$AC$2*$AD$2*$AE$2+('Demand Base Matrix'!H$56+'Demand Base Matrix'!H$57)*$W$2*$AD$2+'Demand Base Matrix'!H$58*$W$2*$AD$2*$AE$2+'Demand Base Matrix'!H$60+'Demand Base Matrix'!H$61*$AF$2),IF($C105="Explore",('Demand Base Matrix'!H$82*$AC$2*$AD$2*$AE$2*$AF$2+'Demand Base Matrix'!H$83*$W$2*$AC$2*$AD$2*$AE$2*$AF$2+'Demand Base Matrix'!H$84)))))</f>
        <v>28</v>
      </c>
      <c r="AL105">
        <f>IF($C105="Validate",(('Demand Base Matrix'!I$2+'Demand Base Matrix'!I$6)*$AC$2*$AD$2*$AE$2+('Demand Base Matrix'!I$3+'Demand Base Matrix'!I$4)*$W$2*$AD$2+'Demand Base Matrix'!I$5*$W$2*$AD$2*$AE$2+'Demand Base Matrix'!I$7+'Demand Base Matrix'!I$8*$AF$2),IF($C105="Integrate",(('Demand Base Matrix'!I$28+'Demand Base Matrix'!I$32)*$AC$2*$AD$2*$AE$2+('Demand Base Matrix'!I$29+'Demand Base Matrix'!I$30)*$W$2*$AD$2+'Demand Base Matrix'!I$31*$W$2*$AD$2*$AE$2+'Demand Base Matrix'!I$33+'Demand Base Matrix'!I$34*$AF$2),IF($C105="Bond",(('Demand Base Matrix'!I$55+'Demand Base Matrix'!I$59)*$AC$2*$AD$2*$AE$2+('Demand Base Matrix'!I$56+'Demand Base Matrix'!I$57)*$W$2*$AD$2+'Demand Base Matrix'!I$58*$W$2*$AD$2*$AE$2+'Demand Base Matrix'!I$60+'Demand Base Matrix'!I$61*$AF$2),IF($C105="Explore",('Demand Base Matrix'!I$82*$AC$2*$AD$2*$AE$2*$AF$2+'Demand Base Matrix'!I$83*$W$2*$AC$2*$AD$2*$AE$2*$AF$2+'Demand Base Matrix'!I$84)))))</f>
        <v>8</v>
      </c>
      <c r="AM105">
        <f>IF($C105="Validate",(('Demand Base Matrix'!J$2+'Demand Base Matrix'!J$6)*$AC$2*$AD$2*$AE$2+('Demand Base Matrix'!J$3+'Demand Base Matrix'!J$4)*$W$2*$AD$2+'Demand Base Matrix'!J$5*$W$2*$AD$2*$AE$2+'Demand Base Matrix'!J$7+'Demand Base Matrix'!J$8*$AF$2),IF($C105="Integrate",(('Demand Base Matrix'!J$28+'Demand Base Matrix'!J$32)*$AC$2*$AD$2*$AE$2+('Demand Base Matrix'!J$29+'Demand Base Matrix'!J$30)*$W$2*$AD$2+'Demand Base Matrix'!J$31*$W$2*$AD$2*$AE$2+'Demand Base Matrix'!J$33+'Demand Base Matrix'!J$34*$AF$2),IF($C105="Bond",(('Demand Base Matrix'!J$55+'Demand Base Matrix'!J$59)*$AC$2*$AD$2*$AE$2+('Demand Base Matrix'!J$56+'Demand Base Matrix'!J$57)*$W$2*$AD$2+'Demand Base Matrix'!J$58*$W$2*$AD$2*$AE$2+'Demand Base Matrix'!J$60+'Demand Base Matrix'!J$61*$AF$2),IF($C105="Explore",('Demand Base Matrix'!J$82*$AC$2*$AD$2*$AE$2*$AF$2+'Demand Base Matrix'!J$83*$W$2*$AC$2*$AD$2*$AE$2*$AF$2+'Demand Base Matrix'!J$84)))))</f>
        <v>8</v>
      </c>
    </row>
    <row r="106" spans="1:39" x14ac:dyDescent="0.2">
      <c r="A106" t="s">
        <v>817</v>
      </c>
      <c r="B106" t="s">
        <v>183</v>
      </c>
      <c r="C106" t="s">
        <v>20</v>
      </c>
      <c r="D106" t="s">
        <v>69</v>
      </c>
      <c r="E106" t="s">
        <v>119</v>
      </c>
      <c r="F106" t="s">
        <v>187</v>
      </c>
      <c r="I106" t="str">
        <f>IFERROR(INDEX('Customer 360'!F:F,MATCH(B106,'Customer 360'!A:A,0)),"-")</f>
        <v>C</v>
      </c>
      <c r="J106" s="5">
        <v>369</v>
      </c>
      <c r="K106" s="5">
        <v>47</v>
      </c>
      <c r="L106" s="4">
        <v>46118</v>
      </c>
      <c r="M106" s="4">
        <v>46118</v>
      </c>
      <c r="N106">
        <v>2026</v>
      </c>
      <c r="O106" s="4">
        <v>46023</v>
      </c>
      <c r="P106" t="s">
        <v>217</v>
      </c>
      <c r="Q106" s="18">
        <f t="shared" si="26"/>
        <v>46023</v>
      </c>
      <c r="R106" s="18">
        <f>IFERROR(IF(M106&lt;&gt;"",M106,IF(L106&lt;&gt;"",L106,INDEX('CSM RDD'!B:B,MATCH(B106,'CSM RDD'!A:A,0)))),"-")</f>
        <v>46118</v>
      </c>
      <c r="S106" s="18">
        <f t="shared" si="27"/>
        <v>46023</v>
      </c>
      <c r="T106" s="18">
        <f t="shared" si="28"/>
        <v>46113</v>
      </c>
      <c r="U106" s="6">
        <f t="shared" si="29"/>
        <v>416</v>
      </c>
      <c r="V106" s="18">
        <f t="shared" si="32"/>
        <v>46023</v>
      </c>
      <c r="W106">
        <f>IF(U106=0,1,IF(U106&lt;='Demand Base Matrix'!$K$3,'Demand Base Matrix'!$L$3,IF(U106&lt;='Demand Base Matrix'!$K$4,'Demand Base Matrix'!$L$4,IF(U106&lt;='Demand Base Matrix'!$K$5,'Demand Base Matrix'!$L$5,IF(U106&lt;='Demand Base Matrix'!$K$6,'Demand Base Matrix'!$L$6,IF(U106&lt;='Demand Base Matrix'!$K$7,'Demand Base Matrix'!$L$7))))))</f>
        <v>0.75</v>
      </c>
      <c r="X106" s="4">
        <f t="shared" si="30"/>
        <v>46113</v>
      </c>
      <c r="Y106" t="str">
        <f t="shared" si="31"/>
        <v>Tx</v>
      </c>
      <c r="Z106" t="s">
        <v>685</v>
      </c>
      <c r="AA106" t="s">
        <v>685</v>
      </c>
      <c r="AB106" t="s">
        <v>685</v>
      </c>
      <c r="AC106">
        <f>IFERROR(INDEX('Demand Base Matrix'!AM:AM,MATCH(Y106,'Demand Base Matrix'!AL:AL,0)),"-")</f>
        <v>1.5</v>
      </c>
      <c r="AD106">
        <f>IFERROR(INDEX('Demand Base Matrix'!AO:AO,MATCH(Z106,'Demand Base Matrix'!AN:AN,0)),1)</f>
        <v>1</v>
      </c>
      <c r="AE106">
        <f>IFERROR(INDEX('Demand Base Matrix'!AQ:AQ,MATCH(AA106,'Demand Base Matrix'!AP:AP,0)),1)</f>
        <v>1</v>
      </c>
      <c r="AF106">
        <f>IFERROR(INDEX('Demand Base Matrix'!AS:AS,MATCH(AB106,'Demand Base Matrix'!AR:AR,0)),1)</f>
        <v>1</v>
      </c>
      <c r="AG106">
        <f>IF($C106="Validate",(('Demand Base Matrix'!D$2+'Demand Base Matrix'!D$6)*$AC$2*$AD$2*$AE$2+('Demand Base Matrix'!D$3+'Demand Base Matrix'!D$4)*$W$2*$AD$2+'Demand Base Matrix'!D$5*$W$2*$AD$2*$AE$2+'Demand Base Matrix'!D$7+'Demand Base Matrix'!D$8*$AF$2),IF($C106="Integrate",(('Demand Base Matrix'!D$28+'Demand Base Matrix'!D$32)*$AC$2*$AD$2*$AE$2+('Demand Base Matrix'!D$29+'Demand Base Matrix'!D$30)*$W$2*$AD$2+'Demand Base Matrix'!D$31*$W$2*$AD$2*$AE$2+'Demand Base Matrix'!D$33+'Demand Base Matrix'!D$34*$AF$2),IF($C106="Bond",(('Demand Base Matrix'!D$55+'Demand Base Matrix'!D$59)*$AC$2*$AD$2*$AE$2+('Demand Base Matrix'!D$56+'Demand Base Matrix'!D$57)*$W$2*$AD$2+'Demand Base Matrix'!D$58*$W$2*$AD$2*$AE$2+'Demand Base Matrix'!D$60+'Demand Base Matrix'!D$61*$AF$2),IF($C106="Explore",('Demand Base Matrix'!D$82*$AC$2*$AD$2*$AE$2*$AF$2+'Demand Base Matrix'!D$83*$W$2*$AC$2*$AD$2*$AE$2*$AF$2+'Demand Base Matrix'!D$84)))))</f>
        <v>15</v>
      </c>
      <c r="AH106">
        <f>IF($C106="Validate",(('Demand Base Matrix'!E$2+'Demand Base Matrix'!E$6)*$AC$2*$AD$2*$AE$2+('Demand Base Matrix'!E$3+'Demand Base Matrix'!E$4)*$W$2*$AD$2+'Demand Base Matrix'!E$5*$W$2*$AD$2*$AE$2+'Demand Base Matrix'!E$7+'Demand Base Matrix'!E$8*$AF$2),IF($C106="Integrate",(('Demand Base Matrix'!E$28+'Demand Base Matrix'!E$32)*$AC$2*$AD$2*$AE$2+('Demand Base Matrix'!E$29+'Demand Base Matrix'!E$30)*$W$2*$AD$2+'Demand Base Matrix'!E$31*$W$2*$AD$2*$AE$2+'Demand Base Matrix'!E$33+'Demand Base Matrix'!E$34*$AF$2),IF($C106="Bond",(('Demand Base Matrix'!E$55+'Demand Base Matrix'!E$59)*$AC$2*$AD$2*$AE$2+('Demand Base Matrix'!E$56+'Demand Base Matrix'!E$57)*$W$2*$AD$2+'Demand Base Matrix'!E$58*$W$2*$AD$2*$AE$2+'Demand Base Matrix'!E$60+'Demand Base Matrix'!E$61*$AF$2),IF($C106="Explore",('Demand Base Matrix'!E$82*$AC$2*$AD$2*$AE$2*$AF$2+'Demand Base Matrix'!E$83*$W$2*$AC$2*$AD$2*$AE$2*$AF$2+'Demand Base Matrix'!E$84)))))</f>
        <v>15</v>
      </c>
      <c r="AI106">
        <f>IF($C106="Validate",(('Demand Base Matrix'!F$2+'Demand Base Matrix'!F$6)*$AC$2*$AD$2*$AE$2+('Demand Base Matrix'!F$3+'Demand Base Matrix'!F$4)*$W$2*$AD$2+'Demand Base Matrix'!F$5*$W$2*$AD$2*$AE$2+'Demand Base Matrix'!F$7+'Demand Base Matrix'!F$8*$AF$2),IF($C106="Integrate",(('Demand Base Matrix'!F$28+'Demand Base Matrix'!F$32)*$AC$2*$AD$2*$AE$2+('Demand Base Matrix'!F$29+'Demand Base Matrix'!F$30)*$W$2*$AD$2+'Demand Base Matrix'!F$31*$W$2*$AD$2*$AE$2+'Demand Base Matrix'!F$33+'Demand Base Matrix'!F$34*$AF$2),IF($C106="Bond",(('Demand Base Matrix'!F$55+'Demand Base Matrix'!F$59)*$AC$2*$AD$2*$AE$2+('Demand Base Matrix'!F$56+'Demand Base Matrix'!F$57)*$W$2*$AD$2+'Demand Base Matrix'!F$58*$W$2*$AD$2*$AE$2+'Demand Base Matrix'!F$60+'Demand Base Matrix'!F$61*$AF$2),IF($C106="Explore",('Demand Base Matrix'!F$82*$AC$2*$AD$2*$AE$2*$AF$2+'Demand Base Matrix'!F$83*$W$2*$AC$2*$AD$2*$AE$2*$AF$2+'Demand Base Matrix'!F$84)))))</f>
        <v>7</v>
      </c>
      <c r="AJ106">
        <f>IF($C106="Validate",(('Demand Base Matrix'!G$2+'Demand Base Matrix'!G$6)*$AC$2*$AD$2*$AE$2+('Demand Base Matrix'!G$3+'Demand Base Matrix'!G$4)*$W$2*$AD$2+'Demand Base Matrix'!G$5*$W$2*$AD$2*$AE$2+'Demand Base Matrix'!G$7+'Demand Base Matrix'!G$8*$AF$2),IF($C106="Integrate",(('Demand Base Matrix'!G$28+'Demand Base Matrix'!G$32)*$AC$2*$AD$2*$AE$2+('Demand Base Matrix'!G$29+'Demand Base Matrix'!G$30)*$W$2*$AD$2+'Demand Base Matrix'!G$31*$W$2*$AD$2*$AE$2+'Demand Base Matrix'!G$33+'Demand Base Matrix'!G$34*$AF$2),IF($C106="Bond",(('Demand Base Matrix'!G$55+'Demand Base Matrix'!G$59)*$AC$2*$AD$2*$AE$2+('Demand Base Matrix'!G$56+'Demand Base Matrix'!G$57)*$W$2*$AD$2+'Demand Base Matrix'!G$58*$W$2*$AD$2*$AE$2+'Demand Base Matrix'!G$60+'Demand Base Matrix'!G$61*$AF$2),IF($C106="Explore",('Demand Base Matrix'!G$82*$AC$2*$AD$2*$AE$2*$AF$2+'Demand Base Matrix'!G$83*$W$2*$AC$2*$AD$2*$AE$2*$AF$2+'Demand Base Matrix'!G$84)))))</f>
        <v>40</v>
      </c>
      <c r="AK106">
        <f>IF($C106="Validate",(('Demand Base Matrix'!H$2+'Demand Base Matrix'!H$6)*$AC$2*$AD$2*$AE$2+('Demand Base Matrix'!H$3+'Demand Base Matrix'!H$4)*$W$2*$AD$2+'Demand Base Matrix'!H$5*$W$2*$AD$2*$AE$2+'Demand Base Matrix'!H$7+'Demand Base Matrix'!H$8*$AF$2),IF($C106="Integrate",(('Demand Base Matrix'!H$28+'Demand Base Matrix'!H$32)*$AC$2*$AD$2*$AE$2+('Demand Base Matrix'!H$29+'Demand Base Matrix'!H$30)*$W$2*$AD$2+'Demand Base Matrix'!H$31*$W$2*$AD$2*$AE$2+'Demand Base Matrix'!H$33+'Demand Base Matrix'!H$34*$AF$2),IF($C106="Bond",(('Demand Base Matrix'!H$55+'Demand Base Matrix'!H$59)*$AC$2*$AD$2*$AE$2+('Demand Base Matrix'!H$56+'Demand Base Matrix'!H$57)*$W$2*$AD$2+'Demand Base Matrix'!H$58*$W$2*$AD$2*$AE$2+'Demand Base Matrix'!H$60+'Demand Base Matrix'!H$61*$AF$2),IF($C106="Explore",('Demand Base Matrix'!H$82*$AC$2*$AD$2*$AE$2*$AF$2+'Demand Base Matrix'!H$83*$W$2*$AC$2*$AD$2*$AE$2*$AF$2+'Demand Base Matrix'!H$84)))))</f>
        <v>60</v>
      </c>
      <c r="AL106">
        <f>IF($C106="Validate",(('Demand Base Matrix'!I$2+'Demand Base Matrix'!I$6)*$AC$2*$AD$2*$AE$2+('Demand Base Matrix'!I$3+'Demand Base Matrix'!I$4)*$W$2*$AD$2+'Demand Base Matrix'!I$5*$W$2*$AD$2*$AE$2+'Demand Base Matrix'!I$7+'Demand Base Matrix'!I$8*$AF$2),IF($C106="Integrate",(('Demand Base Matrix'!I$28+'Demand Base Matrix'!I$32)*$AC$2*$AD$2*$AE$2+('Demand Base Matrix'!I$29+'Demand Base Matrix'!I$30)*$W$2*$AD$2+'Demand Base Matrix'!I$31*$W$2*$AD$2*$AE$2+'Demand Base Matrix'!I$33+'Demand Base Matrix'!I$34*$AF$2),IF($C106="Bond",(('Demand Base Matrix'!I$55+'Demand Base Matrix'!I$59)*$AC$2*$AD$2*$AE$2+('Demand Base Matrix'!I$56+'Demand Base Matrix'!I$57)*$W$2*$AD$2+'Demand Base Matrix'!I$58*$W$2*$AD$2*$AE$2+'Demand Base Matrix'!I$60+'Demand Base Matrix'!I$61*$AF$2),IF($C106="Explore",('Demand Base Matrix'!I$82*$AC$2*$AD$2*$AE$2*$AF$2+'Demand Base Matrix'!I$83*$W$2*$AC$2*$AD$2*$AE$2*$AF$2+'Demand Base Matrix'!I$84)))))</f>
        <v>10</v>
      </c>
      <c r="AM106">
        <f>IF($C106="Validate",(('Demand Base Matrix'!J$2+'Demand Base Matrix'!J$6)*$AC$2*$AD$2*$AE$2+('Demand Base Matrix'!J$3+'Demand Base Matrix'!J$4)*$W$2*$AD$2+'Demand Base Matrix'!J$5*$W$2*$AD$2*$AE$2+'Demand Base Matrix'!J$7+'Demand Base Matrix'!J$8*$AF$2),IF($C106="Integrate",(('Demand Base Matrix'!J$28+'Demand Base Matrix'!J$32)*$AC$2*$AD$2*$AE$2+('Demand Base Matrix'!J$29+'Demand Base Matrix'!J$30)*$W$2*$AD$2+'Demand Base Matrix'!J$31*$W$2*$AD$2*$AE$2+'Demand Base Matrix'!J$33+'Demand Base Matrix'!J$34*$AF$2),IF($C106="Bond",(('Demand Base Matrix'!J$55+'Demand Base Matrix'!J$59)*$AC$2*$AD$2*$AE$2+('Demand Base Matrix'!J$56+'Demand Base Matrix'!J$57)*$W$2*$AD$2+'Demand Base Matrix'!J$58*$W$2*$AD$2*$AE$2+'Demand Base Matrix'!J$60+'Demand Base Matrix'!J$61*$AF$2),IF($C106="Explore",('Demand Base Matrix'!J$82*$AC$2*$AD$2*$AE$2*$AF$2+'Demand Base Matrix'!J$83*$W$2*$AC$2*$AD$2*$AE$2*$AF$2+'Demand Base Matrix'!J$84)))))</f>
        <v>4</v>
      </c>
    </row>
    <row r="107" spans="1:39" x14ac:dyDescent="0.2">
      <c r="A107" t="s">
        <v>818</v>
      </c>
      <c r="B107" t="s">
        <v>193</v>
      </c>
      <c r="C107" t="s">
        <v>20</v>
      </c>
      <c r="D107" t="s">
        <v>186</v>
      </c>
      <c r="E107" t="s">
        <v>118</v>
      </c>
      <c r="F107" t="s">
        <v>184</v>
      </c>
      <c r="I107" t="str">
        <f>IFERROR(INDEX('Customer 360'!F:F,MATCH(B107,'Customer 360'!A:A,0)),"-")</f>
        <v>C</v>
      </c>
      <c r="J107" s="5">
        <v>1773</v>
      </c>
      <c r="K107" s="5">
        <v>0</v>
      </c>
      <c r="L107" s="4">
        <v>46056</v>
      </c>
      <c r="M107" s="4">
        <v>46056</v>
      </c>
      <c r="N107">
        <v>2026</v>
      </c>
      <c r="O107" s="4">
        <v>46023</v>
      </c>
      <c r="P107" t="s">
        <v>217</v>
      </c>
      <c r="Q107" s="18">
        <f t="shared" si="26"/>
        <v>46023</v>
      </c>
      <c r="R107" s="18">
        <f>IFERROR(IF(M107&lt;&gt;"",M107,IF(L107&lt;&gt;"",L107,INDEX('CSM RDD'!B:B,MATCH(B107,'CSM RDD'!A:A,0)))),"-")</f>
        <v>46056</v>
      </c>
      <c r="S107" s="18">
        <f t="shared" si="27"/>
        <v>46023</v>
      </c>
      <c r="T107" s="18">
        <f t="shared" si="28"/>
        <v>46054</v>
      </c>
      <c r="U107" s="6">
        <f t="shared" si="29"/>
        <v>1773</v>
      </c>
      <c r="V107" s="18">
        <f t="shared" si="32"/>
        <v>46023</v>
      </c>
      <c r="W107">
        <f>IF(U107=0,1,IF(U107&lt;='Demand Base Matrix'!$K$3,'Demand Base Matrix'!$L$3,IF(U107&lt;='Demand Base Matrix'!$K$4,'Demand Base Matrix'!$L$4,IF(U107&lt;='Demand Base Matrix'!$K$5,'Demand Base Matrix'!$L$5,IF(U107&lt;='Demand Base Matrix'!$K$6,'Demand Base Matrix'!$L$6,IF(U107&lt;='Demand Base Matrix'!$K$7,'Demand Base Matrix'!$L$7))))))</f>
        <v>1</v>
      </c>
      <c r="X107" s="4">
        <f t="shared" si="30"/>
        <v>46054</v>
      </c>
      <c r="Y107" t="str">
        <f t="shared" si="31"/>
        <v>Dx</v>
      </c>
      <c r="Z107" t="s">
        <v>685</v>
      </c>
      <c r="AA107" t="s">
        <v>685</v>
      </c>
      <c r="AB107" t="s">
        <v>685</v>
      </c>
      <c r="AC107">
        <f>IFERROR(INDEX('Demand Base Matrix'!AM:AM,MATCH(Y107,'Demand Base Matrix'!AL:AL,0)),"-")</f>
        <v>1</v>
      </c>
      <c r="AD107">
        <f>IFERROR(INDEX('Demand Base Matrix'!AO:AO,MATCH(Z107,'Demand Base Matrix'!AN:AN,0)),1)</f>
        <v>1</v>
      </c>
      <c r="AE107">
        <f>IFERROR(INDEX('Demand Base Matrix'!AQ:AQ,MATCH(AA107,'Demand Base Matrix'!AP:AP,0)),1)</f>
        <v>1</v>
      </c>
      <c r="AF107">
        <f>IFERROR(INDEX('Demand Base Matrix'!AS:AS,MATCH(AB107,'Demand Base Matrix'!AR:AR,0)),1)</f>
        <v>1</v>
      </c>
      <c r="AG107">
        <f>IF($C107="Validate",(('Demand Base Matrix'!D$2+'Demand Base Matrix'!D$6)*$AC$2*$AD$2*$AE$2+('Demand Base Matrix'!D$3+'Demand Base Matrix'!D$4)*$W$2*$AD$2+'Demand Base Matrix'!D$5*$W$2*$AD$2*$AE$2+'Demand Base Matrix'!D$7+'Demand Base Matrix'!D$8*$AF$2),IF($C107="Integrate",(('Demand Base Matrix'!D$28+'Demand Base Matrix'!D$32)*$AC$2*$AD$2*$AE$2+('Demand Base Matrix'!D$29+'Demand Base Matrix'!D$30)*$W$2*$AD$2+'Demand Base Matrix'!D$31*$W$2*$AD$2*$AE$2+'Demand Base Matrix'!D$33+'Demand Base Matrix'!D$34*$AF$2),IF($C107="Bond",(('Demand Base Matrix'!D$55+'Demand Base Matrix'!D$59)*$AC$2*$AD$2*$AE$2+('Demand Base Matrix'!D$56+'Demand Base Matrix'!D$57)*$W$2*$AD$2+'Demand Base Matrix'!D$58*$W$2*$AD$2*$AE$2+'Demand Base Matrix'!D$60+'Demand Base Matrix'!D$61*$AF$2),IF($C107="Explore",('Demand Base Matrix'!D$82*$AC$2*$AD$2*$AE$2*$AF$2+'Demand Base Matrix'!D$83*$W$2*$AC$2*$AD$2*$AE$2*$AF$2+'Demand Base Matrix'!D$84)))))</f>
        <v>15</v>
      </c>
      <c r="AH107">
        <f>IF($C107="Validate",(('Demand Base Matrix'!E$2+'Demand Base Matrix'!E$6)*$AC$2*$AD$2*$AE$2+('Demand Base Matrix'!E$3+'Demand Base Matrix'!E$4)*$W$2*$AD$2+'Demand Base Matrix'!E$5*$W$2*$AD$2*$AE$2+'Demand Base Matrix'!E$7+'Demand Base Matrix'!E$8*$AF$2),IF($C107="Integrate",(('Demand Base Matrix'!E$28+'Demand Base Matrix'!E$32)*$AC$2*$AD$2*$AE$2+('Demand Base Matrix'!E$29+'Demand Base Matrix'!E$30)*$W$2*$AD$2+'Demand Base Matrix'!E$31*$W$2*$AD$2*$AE$2+'Demand Base Matrix'!E$33+'Demand Base Matrix'!E$34*$AF$2),IF($C107="Bond",(('Demand Base Matrix'!E$55+'Demand Base Matrix'!E$59)*$AC$2*$AD$2*$AE$2+('Demand Base Matrix'!E$56+'Demand Base Matrix'!E$57)*$W$2*$AD$2+'Demand Base Matrix'!E$58*$W$2*$AD$2*$AE$2+'Demand Base Matrix'!E$60+'Demand Base Matrix'!E$61*$AF$2),IF($C107="Explore",('Demand Base Matrix'!E$82*$AC$2*$AD$2*$AE$2*$AF$2+'Demand Base Matrix'!E$83*$W$2*$AC$2*$AD$2*$AE$2*$AF$2+'Demand Base Matrix'!E$84)))))</f>
        <v>15</v>
      </c>
      <c r="AI107">
        <f>IF($C107="Validate",(('Demand Base Matrix'!F$2+'Demand Base Matrix'!F$6)*$AC$2*$AD$2*$AE$2+('Demand Base Matrix'!F$3+'Demand Base Matrix'!F$4)*$W$2*$AD$2+'Demand Base Matrix'!F$5*$W$2*$AD$2*$AE$2+'Demand Base Matrix'!F$7+'Demand Base Matrix'!F$8*$AF$2),IF($C107="Integrate",(('Demand Base Matrix'!F$28+'Demand Base Matrix'!F$32)*$AC$2*$AD$2*$AE$2+('Demand Base Matrix'!F$29+'Demand Base Matrix'!F$30)*$W$2*$AD$2+'Demand Base Matrix'!F$31*$W$2*$AD$2*$AE$2+'Demand Base Matrix'!F$33+'Demand Base Matrix'!F$34*$AF$2),IF($C107="Bond",(('Demand Base Matrix'!F$55+'Demand Base Matrix'!F$59)*$AC$2*$AD$2*$AE$2+('Demand Base Matrix'!F$56+'Demand Base Matrix'!F$57)*$W$2*$AD$2+'Demand Base Matrix'!F$58*$W$2*$AD$2*$AE$2+'Demand Base Matrix'!F$60+'Demand Base Matrix'!F$61*$AF$2),IF($C107="Explore",('Demand Base Matrix'!F$82*$AC$2*$AD$2*$AE$2*$AF$2+'Demand Base Matrix'!F$83*$W$2*$AC$2*$AD$2*$AE$2*$AF$2+'Demand Base Matrix'!F$84)))))</f>
        <v>7</v>
      </c>
      <c r="AJ107">
        <f>IF($C107="Validate",(('Demand Base Matrix'!G$2+'Demand Base Matrix'!G$6)*$AC$2*$AD$2*$AE$2+('Demand Base Matrix'!G$3+'Demand Base Matrix'!G$4)*$W$2*$AD$2+'Demand Base Matrix'!G$5*$W$2*$AD$2*$AE$2+'Demand Base Matrix'!G$7+'Demand Base Matrix'!G$8*$AF$2),IF($C107="Integrate",(('Demand Base Matrix'!G$28+'Demand Base Matrix'!G$32)*$AC$2*$AD$2*$AE$2+('Demand Base Matrix'!G$29+'Demand Base Matrix'!G$30)*$W$2*$AD$2+'Demand Base Matrix'!G$31*$W$2*$AD$2*$AE$2+'Demand Base Matrix'!G$33+'Demand Base Matrix'!G$34*$AF$2),IF($C107="Bond",(('Demand Base Matrix'!G$55+'Demand Base Matrix'!G$59)*$AC$2*$AD$2*$AE$2+('Demand Base Matrix'!G$56+'Demand Base Matrix'!G$57)*$W$2*$AD$2+'Demand Base Matrix'!G$58*$W$2*$AD$2*$AE$2+'Demand Base Matrix'!G$60+'Demand Base Matrix'!G$61*$AF$2),IF($C107="Explore",('Demand Base Matrix'!G$82*$AC$2*$AD$2*$AE$2*$AF$2+'Demand Base Matrix'!G$83*$W$2*$AC$2*$AD$2*$AE$2*$AF$2+'Demand Base Matrix'!G$84)))))</f>
        <v>40</v>
      </c>
      <c r="AK107">
        <f>IF($C107="Validate",(('Demand Base Matrix'!H$2+'Demand Base Matrix'!H$6)*$AC$2*$AD$2*$AE$2+('Demand Base Matrix'!H$3+'Demand Base Matrix'!H$4)*$W$2*$AD$2+'Demand Base Matrix'!H$5*$W$2*$AD$2*$AE$2+'Demand Base Matrix'!H$7+'Demand Base Matrix'!H$8*$AF$2),IF($C107="Integrate",(('Demand Base Matrix'!H$28+'Demand Base Matrix'!H$32)*$AC$2*$AD$2*$AE$2+('Demand Base Matrix'!H$29+'Demand Base Matrix'!H$30)*$W$2*$AD$2+'Demand Base Matrix'!H$31*$W$2*$AD$2*$AE$2+'Demand Base Matrix'!H$33+'Demand Base Matrix'!H$34*$AF$2),IF($C107="Bond",(('Demand Base Matrix'!H$55+'Demand Base Matrix'!H$59)*$AC$2*$AD$2*$AE$2+('Demand Base Matrix'!H$56+'Demand Base Matrix'!H$57)*$W$2*$AD$2+'Demand Base Matrix'!H$58*$W$2*$AD$2*$AE$2+'Demand Base Matrix'!H$60+'Demand Base Matrix'!H$61*$AF$2),IF($C107="Explore",('Demand Base Matrix'!H$82*$AC$2*$AD$2*$AE$2*$AF$2+'Demand Base Matrix'!H$83*$W$2*$AC$2*$AD$2*$AE$2*$AF$2+'Demand Base Matrix'!H$84)))))</f>
        <v>60</v>
      </c>
      <c r="AL107">
        <f>IF($C107="Validate",(('Demand Base Matrix'!I$2+'Demand Base Matrix'!I$6)*$AC$2*$AD$2*$AE$2+('Demand Base Matrix'!I$3+'Demand Base Matrix'!I$4)*$W$2*$AD$2+'Demand Base Matrix'!I$5*$W$2*$AD$2*$AE$2+'Demand Base Matrix'!I$7+'Demand Base Matrix'!I$8*$AF$2),IF($C107="Integrate",(('Demand Base Matrix'!I$28+'Demand Base Matrix'!I$32)*$AC$2*$AD$2*$AE$2+('Demand Base Matrix'!I$29+'Demand Base Matrix'!I$30)*$W$2*$AD$2+'Demand Base Matrix'!I$31*$W$2*$AD$2*$AE$2+'Demand Base Matrix'!I$33+'Demand Base Matrix'!I$34*$AF$2),IF($C107="Bond",(('Demand Base Matrix'!I$55+'Demand Base Matrix'!I$59)*$AC$2*$AD$2*$AE$2+('Demand Base Matrix'!I$56+'Demand Base Matrix'!I$57)*$W$2*$AD$2+'Demand Base Matrix'!I$58*$W$2*$AD$2*$AE$2+'Demand Base Matrix'!I$60+'Demand Base Matrix'!I$61*$AF$2),IF($C107="Explore",('Demand Base Matrix'!I$82*$AC$2*$AD$2*$AE$2*$AF$2+'Demand Base Matrix'!I$83*$W$2*$AC$2*$AD$2*$AE$2*$AF$2+'Demand Base Matrix'!I$84)))))</f>
        <v>10</v>
      </c>
      <c r="AM107">
        <f>IF($C107="Validate",(('Demand Base Matrix'!J$2+'Demand Base Matrix'!J$6)*$AC$2*$AD$2*$AE$2+('Demand Base Matrix'!J$3+'Demand Base Matrix'!J$4)*$W$2*$AD$2+'Demand Base Matrix'!J$5*$W$2*$AD$2*$AE$2+'Demand Base Matrix'!J$7+'Demand Base Matrix'!J$8*$AF$2),IF($C107="Integrate",(('Demand Base Matrix'!J$28+'Demand Base Matrix'!J$32)*$AC$2*$AD$2*$AE$2+('Demand Base Matrix'!J$29+'Demand Base Matrix'!J$30)*$W$2*$AD$2+'Demand Base Matrix'!J$31*$W$2*$AD$2*$AE$2+'Demand Base Matrix'!J$33+'Demand Base Matrix'!J$34*$AF$2),IF($C107="Bond",(('Demand Base Matrix'!J$55+'Demand Base Matrix'!J$59)*$AC$2*$AD$2*$AE$2+('Demand Base Matrix'!J$56+'Demand Base Matrix'!J$57)*$W$2*$AD$2+'Demand Base Matrix'!J$58*$W$2*$AD$2*$AE$2+'Demand Base Matrix'!J$60+'Demand Base Matrix'!J$61*$AF$2),IF($C107="Explore",('Demand Base Matrix'!J$82*$AC$2*$AD$2*$AE$2*$AF$2+'Demand Base Matrix'!J$83*$W$2*$AC$2*$AD$2*$AE$2*$AF$2+'Demand Base Matrix'!J$84)))))</f>
        <v>4</v>
      </c>
    </row>
    <row r="108" spans="1:39" x14ac:dyDescent="0.2">
      <c r="A108" t="s">
        <v>820</v>
      </c>
      <c r="B108" t="s">
        <v>206</v>
      </c>
      <c r="C108" t="s">
        <v>20</v>
      </c>
      <c r="D108" t="s">
        <v>53</v>
      </c>
      <c r="E108" t="s">
        <v>25</v>
      </c>
      <c r="F108" t="s">
        <v>21</v>
      </c>
      <c r="I108" t="str">
        <f>IFERROR(INDEX('Customer 360'!F:F,MATCH(B108,'Customer 360'!A:A,0)),"-")</f>
        <v>C</v>
      </c>
      <c r="J108" s="5">
        <v>1965</v>
      </c>
      <c r="K108" s="5">
        <v>0</v>
      </c>
      <c r="L108" s="4">
        <v>46052</v>
      </c>
      <c r="M108" s="4">
        <v>46063</v>
      </c>
      <c r="N108">
        <v>2026</v>
      </c>
      <c r="O108" s="4">
        <v>46023</v>
      </c>
      <c r="P108" t="s">
        <v>217</v>
      </c>
      <c r="Q108" s="18">
        <f t="shared" si="26"/>
        <v>46023</v>
      </c>
      <c r="R108" s="18">
        <f>IFERROR(IF(M108&lt;&gt;"",M108,IF(L108&lt;&gt;"",L108,INDEX('CSM RDD'!B:B,MATCH(B108,'CSM RDD'!A:A,0)))),"-")</f>
        <v>46063</v>
      </c>
      <c r="S108" s="18">
        <f t="shared" si="27"/>
        <v>46023</v>
      </c>
      <c r="T108" s="18">
        <f t="shared" si="28"/>
        <v>46054</v>
      </c>
      <c r="U108" s="6">
        <f t="shared" si="29"/>
        <v>1965</v>
      </c>
      <c r="V108" s="18">
        <f t="shared" si="32"/>
        <v>46023</v>
      </c>
      <c r="W108">
        <f>IF(U108=0,1,IF(U108&lt;='Demand Base Matrix'!$K$3,'Demand Base Matrix'!$L$3,IF(U108&lt;='Demand Base Matrix'!$K$4,'Demand Base Matrix'!$L$4,IF(U108&lt;='Demand Base Matrix'!$K$5,'Demand Base Matrix'!$L$5,IF(U108&lt;='Demand Base Matrix'!$K$6,'Demand Base Matrix'!$L$6,IF(U108&lt;='Demand Base Matrix'!$K$7,'Demand Base Matrix'!$L$7))))))</f>
        <v>1</v>
      </c>
      <c r="X108" s="4">
        <f t="shared" si="30"/>
        <v>46054</v>
      </c>
      <c r="Y108" t="str">
        <f t="shared" si="31"/>
        <v>Dx</v>
      </c>
      <c r="Z108" t="s">
        <v>685</v>
      </c>
      <c r="AA108" t="s">
        <v>685</v>
      </c>
      <c r="AB108" t="s">
        <v>685</v>
      </c>
      <c r="AC108">
        <f>IFERROR(INDEX('Demand Base Matrix'!AM:AM,MATCH(Y108,'Demand Base Matrix'!AL:AL,0)),"-")</f>
        <v>1</v>
      </c>
      <c r="AD108">
        <f>IFERROR(INDEX('Demand Base Matrix'!AO:AO,MATCH(Z108,'Demand Base Matrix'!AN:AN,0)),1)</f>
        <v>1</v>
      </c>
      <c r="AE108">
        <f>IFERROR(INDEX('Demand Base Matrix'!AQ:AQ,MATCH(AA108,'Demand Base Matrix'!AP:AP,0)),1)</f>
        <v>1</v>
      </c>
      <c r="AF108">
        <f>IFERROR(INDEX('Demand Base Matrix'!AS:AS,MATCH(AB108,'Demand Base Matrix'!AR:AR,0)),1)</f>
        <v>1</v>
      </c>
      <c r="AG108">
        <f>IF($C108="Validate",(('Demand Base Matrix'!D$2+'Demand Base Matrix'!D$6)*$AC$2*$AD$2*$AE$2+('Demand Base Matrix'!D$3+'Demand Base Matrix'!D$4)*$W$2*$AD$2+'Demand Base Matrix'!D$5*$W$2*$AD$2*$AE$2+'Demand Base Matrix'!D$7+'Demand Base Matrix'!D$8*$AF$2),IF($C108="Integrate",(('Demand Base Matrix'!D$28+'Demand Base Matrix'!D$32)*$AC$2*$AD$2*$AE$2+('Demand Base Matrix'!D$29+'Demand Base Matrix'!D$30)*$W$2*$AD$2+'Demand Base Matrix'!D$31*$W$2*$AD$2*$AE$2+'Demand Base Matrix'!D$33+'Demand Base Matrix'!D$34*$AF$2),IF($C108="Bond",(('Demand Base Matrix'!D$55+'Demand Base Matrix'!D$59)*$AC$2*$AD$2*$AE$2+('Demand Base Matrix'!D$56+'Demand Base Matrix'!D$57)*$W$2*$AD$2+'Demand Base Matrix'!D$58*$W$2*$AD$2*$AE$2+'Demand Base Matrix'!D$60+'Demand Base Matrix'!D$61*$AF$2),IF($C108="Explore",('Demand Base Matrix'!D$82*$AC$2*$AD$2*$AE$2*$AF$2+'Demand Base Matrix'!D$83*$W$2*$AC$2*$AD$2*$AE$2*$AF$2+'Demand Base Matrix'!D$84)))))</f>
        <v>15</v>
      </c>
      <c r="AH108">
        <f>IF($C108="Validate",(('Demand Base Matrix'!E$2+'Demand Base Matrix'!E$6)*$AC$2*$AD$2*$AE$2+('Demand Base Matrix'!E$3+'Demand Base Matrix'!E$4)*$W$2*$AD$2+'Demand Base Matrix'!E$5*$W$2*$AD$2*$AE$2+'Demand Base Matrix'!E$7+'Demand Base Matrix'!E$8*$AF$2),IF($C108="Integrate",(('Demand Base Matrix'!E$28+'Demand Base Matrix'!E$32)*$AC$2*$AD$2*$AE$2+('Demand Base Matrix'!E$29+'Demand Base Matrix'!E$30)*$W$2*$AD$2+'Demand Base Matrix'!E$31*$W$2*$AD$2*$AE$2+'Demand Base Matrix'!E$33+'Demand Base Matrix'!E$34*$AF$2),IF($C108="Bond",(('Demand Base Matrix'!E$55+'Demand Base Matrix'!E$59)*$AC$2*$AD$2*$AE$2+('Demand Base Matrix'!E$56+'Demand Base Matrix'!E$57)*$W$2*$AD$2+'Demand Base Matrix'!E$58*$W$2*$AD$2*$AE$2+'Demand Base Matrix'!E$60+'Demand Base Matrix'!E$61*$AF$2),IF($C108="Explore",('Demand Base Matrix'!E$82*$AC$2*$AD$2*$AE$2*$AF$2+'Demand Base Matrix'!E$83*$W$2*$AC$2*$AD$2*$AE$2*$AF$2+'Demand Base Matrix'!E$84)))))</f>
        <v>15</v>
      </c>
      <c r="AI108">
        <f>IF($C108="Validate",(('Demand Base Matrix'!F$2+'Demand Base Matrix'!F$6)*$AC$2*$AD$2*$AE$2+('Demand Base Matrix'!F$3+'Demand Base Matrix'!F$4)*$W$2*$AD$2+'Demand Base Matrix'!F$5*$W$2*$AD$2*$AE$2+'Demand Base Matrix'!F$7+'Demand Base Matrix'!F$8*$AF$2),IF($C108="Integrate",(('Demand Base Matrix'!F$28+'Demand Base Matrix'!F$32)*$AC$2*$AD$2*$AE$2+('Demand Base Matrix'!F$29+'Demand Base Matrix'!F$30)*$W$2*$AD$2+'Demand Base Matrix'!F$31*$W$2*$AD$2*$AE$2+'Demand Base Matrix'!F$33+'Demand Base Matrix'!F$34*$AF$2),IF($C108="Bond",(('Demand Base Matrix'!F$55+'Demand Base Matrix'!F$59)*$AC$2*$AD$2*$AE$2+('Demand Base Matrix'!F$56+'Demand Base Matrix'!F$57)*$W$2*$AD$2+'Demand Base Matrix'!F$58*$W$2*$AD$2*$AE$2+'Demand Base Matrix'!F$60+'Demand Base Matrix'!F$61*$AF$2),IF($C108="Explore",('Demand Base Matrix'!F$82*$AC$2*$AD$2*$AE$2*$AF$2+'Demand Base Matrix'!F$83*$W$2*$AC$2*$AD$2*$AE$2*$AF$2+'Demand Base Matrix'!F$84)))))</f>
        <v>7</v>
      </c>
      <c r="AJ108">
        <f>IF($C108="Validate",(('Demand Base Matrix'!G$2+'Demand Base Matrix'!G$6)*$AC$2*$AD$2*$AE$2+('Demand Base Matrix'!G$3+'Demand Base Matrix'!G$4)*$W$2*$AD$2+'Demand Base Matrix'!G$5*$W$2*$AD$2*$AE$2+'Demand Base Matrix'!G$7+'Demand Base Matrix'!G$8*$AF$2),IF($C108="Integrate",(('Demand Base Matrix'!G$28+'Demand Base Matrix'!G$32)*$AC$2*$AD$2*$AE$2+('Demand Base Matrix'!G$29+'Demand Base Matrix'!G$30)*$W$2*$AD$2+'Demand Base Matrix'!G$31*$W$2*$AD$2*$AE$2+'Demand Base Matrix'!G$33+'Demand Base Matrix'!G$34*$AF$2),IF($C108="Bond",(('Demand Base Matrix'!G$55+'Demand Base Matrix'!G$59)*$AC$2*$AD$2*$AE$2+('Demand Base Matrix'!G$56+'Demand Base Matrix'!G$57)*$W$2*$AD$2+'Demand Base Matrix'!G$58*$W$2*$AD$2*$AE$2+'Demand Base Matrix'!G$60+'Demand Base Matrix'!G$61*$AF$2),IF($C108="Explore",('Demand Base Matrix'!G$82*$AC$2*$AD$2*$AE$2*$AF$2+'Demand Base Matrix'!G$83*$W$2*$AC$2*$AD$2*$AE$2*$AF$2+'Demand Base Matrix'!G$84)))))</f>
        <v>40</v>
      </c>
      <c r="AK108">
        <f>IF($C108="Validate",(('Demand Base Matrix'!H$2+'Demand Base Matrix'!H$6)*$AC$2*$AD$2*$AE$2+('Demand Base Matrix'!H$3+'Demand Base Matrix'!H$4)*$W$2*$AD$2+'Demand Base Matrix'!H$5*$W$2*$AD$2*$AE$2+'Demand Base Matrix'!H$7+'Demand Base Matrix'!H$8*$AF$2),IF($C108="Integrate",(('Demand Base Matrix'!H$28+'Demand Base Matrix'!H$32)*$AC$2*$AD$2*$AE$2+('Demand Base Matrix'!H$29+'Demand Base Matrix'!H$30)*$W$2*$AD$2+'Demand Base Matrix'!H$31*$W$2*$AD$2*$AE$2+'Demand Base Matrix'!H$33+'Demand Base Matrix'!H$34*$AF$2),IF($C108="Bond",(('Demand Base Matrix'!H$55+'Demand Base Matrix'!H$59)*$AC$2*$AD$2*$AE$2+('Demand Base Matrix'!H$56+'Demand Base Matrix'!H$57)*$W$2*$AD$2+'Demand Base Matrix'!H$58*$W$2*$AD$2*$AE$2+'Demand Base Matrix'!H$60+'Demand Base Matrix'!H$61*$AF$2),IF($C108="Explore",('Demand Base Matrix'!H$82*$AC$2*$AD$2*$AE$2*$AF$2+'Demand Base Matrix'!H$83*$W$2*$AC$2*$AD$2*$AE$2*$AF$2+'Demand Base Matrix'!H$84)))))</f>
        <v>60</v>
      </c>
      <c r="AL108">
        <f>IF($C108="Validate",(('Demand Base Matrix'!I$2+'Demand Base Matrix'!I$6)*$AC$2*$AD$2*$AE$2+('Demand Base Matrix'!I$3+'Demand Base Matrix'!I$4)*$W$2*$AD$2+'Demand Base Matrix'!I$5*$W$2*$AD$2*$AE$2+'Demand Base Matrix'!I$7+'Demand Base Matrix'!I$8*$AF$2),IF($C108="Integrate",(('Demand Base Matrix'!I$28+'Demand Base Matrix'!I$32)*$AC$2*$AD$2*$AE$2+('Demand Base Matrix'!I$29+'Demand Base Matrix'!I$30)*$W$2*$AD$2+'Demand Base Matrix'!I$31*$W$2*$AD$2*$AE$2+'Demand Base Matrix'!I$33+'Demand Base Matrix'!I$34*$AF$2),IF($C108="Bond",(('Demand Base Matrix'!I$55+'Demand Base Matrix'!I$59)*$AC$2*$AD$2*$AE$2+('Demand Base Matrix'!I$56+'Demand Base Matrix'!I$57)*$W$2*$AD$2+'Demand Base Matrix'!I$58*$W$2*$AD$2*$AE$2+'Demand Base Matrix'!I$60+'Demand Base Matrix'!I$61*$AF$2),IF($C108="Explore",('Demand Base Matrix'!I$82*$AC$2*$AD$2*$AE$2*$AF$2+'Demand Base Matrix'!I$83*$W$2*$AC$2*$AD$2*$AE$2*$AF$2+'Demand Base Matrix'!I$84)))))</f>
        <v>10</v>
      </c>
      <c r="AM108">
        <f>IF($C108="Validate",(('Demand Base Matrix'!J$2+'Demand Base Matrix'!J$6)*$AC$2*$AD$2*$AE$2+('Demand Base Matrix'!J$3+'Demand Base Matrix'!J$4)*$W$2*$AD$2+'Demand Base Matrix'!J$5*$W$2*$AD$2*$AE$2+'Demand Base Matrix'!J$7+'Demand Base Matrix'!J$8*$AF$2),IF($C108="Integrate",(('Demand Base Matrix'!J$28+'Demand Base Matrix'!J$32)*$AC$2*$AD$2*$AE$2+('Demand Base Matrix'!J$29+'Demand Base Matrix'!J$30)*$W$2*$AD$2+'Demand Base Matrix'!J$31*$W$2*$AD$2*$AE$2+'Demand Base Matrix'!J$33+'Demand Base Matrix'!J$34*$AF$2),IF($C108="Bond",(('Demand Base Matrix'!J$55+'Demand Base Matrix'!J$59)*$AC$2*$AD$2*$AE$2+('Demand Base Matrix'!J$56+'Demand Base Matrix'!J$57)*$W$2*$AD$2+'Demand Base Matrix'!J$58*$W$2*$AD$2*$AE$2+'Demand Base Matrix'!J$60+'Demand Base Matrix'!J$61*$AF$2),IF($C108="Explore",('Demand Base Matrix'!J$82*$AC$2*$AD$2*$AE$2*$AF$2+'Demand Base Matrix'!J$83*$W$2*$AC$2*$AD$2*$AE$2*$AF$2+'Demand Base Matrix'!J$84)))))</f>
        <v>4</v>
      </c>
    </row>
    <row r="109" spans="1:39" x14ac:dyDescent="0.2">
      <c r="A109" t="s">
        <v>821</v>
      </c>
      <c r="B109" t="s">
        <v>652</v>
      </c>
      <c r="C109" t="s">
        <v>20</v>
      </c>
      <c r="D109" t="s">
        <v>186</v>
      </c>
      <c r="E109" t="s">
        <v>118</v>
      </c>
      <c r="F109" t="s">
        <v>799</v>
      </c>
      <c r="I109" t="str">
        <f>IFERROR(INDEX('Customer 360'!F:F,MATCH(B109,'Customer 360'!A:A,0)),"-")</f>
        <v>C</v>
      </c>
      <c r="J109" s="5">
        <v>918</v>
      </c>
      <c r="K109" s="5">
        <v>170</v>
      </c>
      <c r="L109" s="4">
        <v>46142</v>
      </c>
      <c r="M109" s="4">
        <v>46142</v>
      </c>
      <c r="N109">
        <v>2026</v>
      </c>
      <c r="O109" s="4">
        <v>46023</v>
      </c>
      <c r="P109" t="s">
        <v>217</v>
      </c>
      <c r="Q109" s="18">
        <f t="shared" si="26"/>
        <v>46023</v>
      </c>
      <c r="R109" s="18">
        <f>IFERROR(IF(M109&lt;&gt;"",M109,IF(L109&lt;&gt;"",L109,INDEX('CSM RDD'!B:B,MATCH(B109,'CSM RDD'!A:A,0)))),"-")</f>
        <v>46142</v>
      </c>
      <c r="S109" s="18">
        <f t="shared" si="27"/>
        <v>46023</v>
      </c>
      <c r="T109" s="18">
        <f t="shared" si="28"/>
        <v>46113</v>
      </c>
      <c r="U109" s="6">
        <f t="shared" si="29"/>
        <v>1088</v>
      </c>
      <c r="V109" s="18">
        <f t="shared" si="32"/>
        <v>46023</v>
      </c>
      <c r="W109">
        <f>IF(U109=0,1,IF(U109&lt;='Demand Base Matrix'!$K$3,'Demand Base Matrix'!$L$3,IF(U109&lt;='Demand Base Matrix'!$K$4,'Demand Base Matrix'!$L$4,IF(U109&lt;='Demand Base Matrix'!$K$5,'Demand Base Matrix'!$L$5,IF(U109&lt;='Demand Base Matrix'!$K$6,'Demand Base Matrix'!$L$6,IF(U109&lt;='Demand Base Matrix'!$K$7,'Demand Base Matrix'!$L$7))))))</f>
        <v>1</v>
      </c>
      <c r="X109" s="4">
        <f t="shared" si="30"/>
        <v>46113</v>
      </c>
      <c r="Y109" t="str">
        <f t="shared" si="31"/>
        <v>Tx</v>
      </c>
      <c r="Z109" t="s">
        <v>685</v>
      </c>
      <c r="AA109" t="s">
        <v>685</v>
      </c>
      <c r="AB109" t="s">
        <v>685</v>
      </c>
      <c r="AC109">
        <f>IFERROR(INDEX('Demand Base Matrix'!AM:AM,MATCH(Y109,'Demand Base Matrix'!AL:AL,0)),"-")</f>
        <v>1.5</v>
      </c>
      <c r="AD109">
        <f>IFERROR(INDEX('Demand Base Matrix'!AO:AO,MATCH(Z109,'Demand Base Matrix'!AN:AN,0)),1)</f>
        <v>1</v>
      </c>
      <c r="AE109">
        <f>IFERROR(INDEX('Demand Base Matrix'!AQ:AQ,MATCH(AA109,'Demand Base Matrix'!AP:AP,0)),1)</f>
        <v>1</v>
      </c>
      <c r="AF109">
        <f>IFERROR(INDEX('Demand Base Matrix'!AS:AS,MATCH(AB109,'Demand Base Matrix'!AR:AR,0)),1)</f>
        <v>1</v>
      </c>
      <c r="AG109">
        <f>IF($C109="Validate",(('Demand Base Matrix'!D$2+'Demand Base Matrix'!D$6)*$AC$2*$AD$2*$AE$2+('Demand Base Matrix'!D$3+'Demand Base Matrix'!D$4)*$W$2*$AD$2+'Demand Base Matrix'!D$5*$W$2*$AD$2*$AE$2+'Demand Base Matrix'!D$7+'Demand Base Matrix'!D$8*$AF$2),IF($C109="Integrate",(('Demand Base Matrix'!D$28+'Demand Base Matrix'!D$32)*$AC$2*$AD$2*$AE$2+('Demand Base Matrix'!D$29+'Demand Base Matrix'!D$30)*$W$2*$AD$2+'Demand Base Matrix'!D$31*$W$2*$AD$2*$AE$2+'Demand Base Matrix'!D$33+'Demand Base Matrix'!D$34*$AF$2),IF($C109="Bond",(('Demand Base Matrix'!D$55+'Demand Base Matrix'!D$59)*$AC$2*$AD$2*$AE$2+('Demand Base Matrix'!D$56+'Demand Base Matrix'!D$57)*$W$2*$AD$2+'Demand Base Matrix'!D$58*$W$2*$AD$2*$AE$2+'Demand Base Matrix'!D$60+'Demand Base Matrix'!D$61*$AF$2),IF($C109="Explore",('Demand Base Matrix'!D$82*$AC$2*$AD$2*$AE$2*$AF$2+'Demand Base Matrix'!D$83*$W$2*$AC$2*$AD$2*$AE$2*$AF$2+'Demand Base Matrix'!D$84)))))</f>
        <v>15</v>
      </c>
      <c r="AH109">
        <f>IF($C109="Validate",(('Demand Base Matrix'!E$2+'Demand Base Matrix'!E$6)*$AC$2*$AD$2*$AE$2+('Demand Base Matrix'!E$3+'Demand Base Matrix'!E$4)*$W$2*$AD$2+'Demand Base Matrix'!E$5*$W$2*$AD$2*$AE$2+'Demand Base Matrix'!E$7+'Demand Base Matrix'!E$8*$AF$2),IF($C109="Integrate",(('Demand Base Matrix'!E$28+'Demand Base Matrix'!E$32)*$AC$2*$AD$2*$AE$2+('Demand Base Matrix'!E$29+'Demand Base Matrix'!E$30)*$W$2*$AD$2+'Demand Base Matrix'!E$31*$W$2*$AD$2*$AE$2+'Demand Base Matrix'!E$33+'Demand Base Matrix'!E$34*$AF$2),IF($C109="Bond",(('Demand Base Matrix'!E$55+'Demand Base Matrix'!E$59)*$AC$2*$AD$2*$AE$2+('Demand Base Matrix'!E$56+'Demand Base Matrix'!E$57)*$W$2*$AD$2+'Demand Base Matrix'!E$58*$W$2*$AD$2*$AE$2+'Demand Base Matrix'!E$60+'Demand Base Matrix'!E$61*$AF$2),IF($C109="Explore",('Demand Base Matrix'!E$82*$AC$2*$AD$2*$AE$2*$AF$2+'Demand Base Matrix'!E$83*$W$2*$AC$2*$AD$2*$AE$2*$AF$2+'Demand Base Matrix'!E$84)))))</f>
        <v>15</v>
      </c>
      <c r="AI109">
        <f>IF($C109="Validate",(('Demand Base Matrix'!F$2+'Demand Base Matrix'!F$6)*$AC$2*$AD$2*$AE$2+('Demand Base Matrix'!F$3+'Demand Base Matrix'!F$4)*$W$2*$AD$2+'Demand Base Matrix'!F$5*$W$2*$AD$2*$AE$2+'Demand Base Matrix'!F$7+'Demand Base Matrix'!F$8*$AF$2),IF($C109="Integrate",(('Demand Base Matrix'!F$28+'Demand Base Matrix'!F$32)*$AC$2*$AD$2*$AE$2+('Demand Base Matrix'!F$29+'Demand Base Matrix'!F$30)*$W$2*$AD$2+'Demand Base Matrix'!F$31*$W$2*$AD$2*$AE$2+'Demand Base Matrix'!F$33+'Demand Base Matrix'!F$34*$AF$2),IF($C109="Bond",(('Demand Base Matrix'!F$55+'Demand Base Matrix'!F$59)*$AC$2*$AD$2*$AE$2+('Demand Base Matrix'!F$56+'Demand Base Matrix'!F$57)*$W$2*$AD$2+'Demand Base Matrix'!F$58*$W$2*$AD$2*$AE$2+'Demand Base Matrix'!F$60+'Demand Base Matrix'!F$61*$AF$2),IF($C109="Explore",('Demand Base Matrix'!F$82*$AC$2*$AD$2*$AE$2*$AF$2+'Demand Base Matrix'!F$83*$W$2*$AC$2*$AD$2*$AE$2*$AF$2+'Demand Base Matrix'!F$84)))))</f>
        <v>7</v>
      </c>
      <c r="AJ109">
        <f>IF($C109="Validate",(('Demand Base Matrix'!G$2+'Demand Base Matrix'!G$6)*$AC$2*$AD$2*$AE$2+('Demand Base Matrix'!G$3+'Demand Base Matrix'!G$4)*$W$2*$AD$2+'Demand Base Matrix'!G$5*$W$2*$AD$2*$AE$2+'Demand Base Matrix'!G$7+'Demand Base Matrix'!G$8*$AF$2),IF($C109="Integrate",(('Demand Base Matrix'!G$28+'Demand Base Matrix'!G$32)*$AC$2*$AD$2*$AE$2+('Demand Base Matrix'!G$29+'Demand Base Matrix'!G$30)*$W$2*$AD$2+'Demand Base Matrix'!G$31*$W$2*$AD$2*$AE$2+'Demand Base Matrix'!G$33+'Demand Base Matrix'!G$34*$AF$2),IF($C109="Bond",(('Demand Base Matrix'!G$55+'Demand Base Matrix'!G$59)*$AC$2*$AD$2*$AE$2+('Demand Base Matrix'!G$56+'Demand Base Matrix'!G$57)*$W$2*$AD$2+'Demand Base Matrix'!G$58*$W$2*$AD$2*$AE$2+'Demand Base Matrix'!G$60+'Demand Base Matrix'!G$61*$AF$2),IF($C109="Explore",('Demand Base Matrix'!G$82*$AC$2*$AD$2*$AE$2*$AF$2+'Demand Base Matrix'!G$83*$W$2*$AC$2*$AD$2*$AE$2*$AF$2+'Demand Base Matrix'!G$84)))))</f>
        <v>40</v>
      </c>
      <c r="AK109">
        <f>IF($C109="Validate",(('Demand Base Matrix'!H$2+'Demand Base Matrix'!H$6)*$AC$2*$AD$2*$AE$2+('Demand Base Matrix'!H$3+'Demand Base Matrix'!H$4)*$W$2*$AD$2+'Demand Base Matrix'!H$5*$W$2*$AD$2*$AE$2+'Demand Base Matrix'!H$7+'Demand Base Matrix'!H$8*$AF$2),IF($C109="Integrate",(('Demand Base Matrix'!H$28+'Demand Base Matrix'!H$32)*$AC$2*$AD$2*$AE$2+('Demand Base Matrix'!H$29+'Demand Base Matrix'!H$30)*$W$2*$AD$2+'Demand Base Matrix'!H$31*$W$2*$AD$2*$AE$2+'Demand Base Matrix'!H$33+'Demand Base Matrix'!H$34*$AF$2),IF($C109="Bond",(('Demand Base Matrix'!H$55+'Demand Base Matrix'!H$59)*$AC$2*$AD$2*$AE$2+('Demand Base Matrix'!H$56+'Demand Base Matrix'!H$57)*$W$2*$AD$2+'Demand Base Matrix'!H$58*$W$2*$AD$2*$AE$2+'Demand Base Matrix'!H$60+'Demand Base Matrix'!H$61*$AF$2),IF($C109="Explore",('Demand Base Matrix'!H$82*$AC$2*$AD$2*$AE$2*$AF$2+'Demand Base Matrix'!H$83*$W$2*$AC$2*$AD$2*$AE$2*$AF$2+'Demand Base Matrix'!H$84)))))</f>
        <v>60</v>
      </c>
      <c r="AL109">
        <f>IF($C109="Validate",(('Demand Base Matrix'!I$2+'Demand Base Matrix'!I$6)*$AC$2*$AD$2*$AE$2+('Demand Base Matrix'!I$3+'Demand Base Matrix'!I$4)*$W$2*$AD$2+'Demand Base Matrix'!I$5*$W$2*$AD$2*$AE$2+'Demand Base Matrix'!I$7+'Demand Base Matrix'!I$8*$AF$2),IF($C109="Integrate",(('Demand Base Matrix'!I$28+'Demand Base Matrix'!I$32)*$AC$2*$AD$2*$AE$2+('Demand Base Matrix'!I$29+'Demand Base Matrix'!I$30)*$W$2*$AD$2+'Demand Base Matrix'!I$31*$W$2*$AD$2*$AE$2+'Demand Base Matrix'!I$33+'Demand Base Matrix'!I$34*$AF$2),IF($C109="Bond",(('Demand Base Matrix'!I$55+'Demand Base Matrix'!I$59)*$AC$2*$AD$2*$AE$2+('Demand Base Matrix'!I$56+'Demand Base Matrix'!I$57)*$W$2*$AD$2+'Demand Base Matrix'!I$58*$W$2*$AD$2*$AE$2+'Demand Base Matrix'!I$60+'Demand Base Matrix'!I$61*$AF$2),IF($C109="Explore",('Demand Base Matrix'!I$82*$AC$2*$AD$2*$AE$2*$AF$2+'Demand Base Matrix'!I$83*$W$2*$AC$2*$AD$2*$AE$2*$AF$2+'Demand Base Matrix'!I$84)))))</f>
        <v>10</v>
      </c>
      <c r="AM109">
        <f>IF($C109="Validate",(('Demand Base Matrix'!J$2+'Demand Base Matrix'!J$6)*$AC$2*$AD$2*$AE$2+('Demand Base Matrix'!J$3+'Demand Base Matrix'!J$4)*$W$2*$AD$2+'Demand Base Matrix'!J$5*$W$2*$AD$2*$AE$2+'Demand Base Matrix'!J$7+'Demand Base Matrix'!J$8*$AF$2),IF($C109="Integrate",(('Demand Base Matrix'!J$28+'Demand Base Matrix'!J$32)*$AC$2*$AD$2*$AE$2+('Demand Base Matrix'!J$29+'Demand Base Matrix'!J$30)*$W$2*$AD$2+'Demand Base Matrix'!J$31*$W$2*$AD$2*$AE$2+'Demand Base Matrix'!J$33+'Demand Base Matrix'!J$34*$AF$2),IF($C109="Bond",(('Demand Base Matrix'!J$55+'Demand Base Matrix'!J$59)*$AC$2*$AD$2*$AE$2+('Demand Base Matrix'!J$56+'Demand Base Matrix'!J$57)*$W$2*$AD$2+'Demand Base Matrix'!J$58*$W$2*$AD$2*$AE$2+'Demand Base Matrix'!J$60+'Demand Base Matrix'!J$61*$AF$2),IF($C109="Explore",('Demand Base Matrix'!J$82*$AC$2*$AD$2*$AE$2*$AF$2+'Demand Base Matrix'!J$83*$W$2*$AC$2*$AD$2*$AE$2*$AF$2+'Demand Base Matrix'!J$84)))))</f>
        <v>4</v>
      </c>
    </row>
  </sheetData>
  <autoFilter ref="A1:AM109" xr:uid="{AA519189-71C6-1A4D-8254-084482F66B2C}"/>
  <phoneticPr fontId="9" type="noConversion"/>
  <dataValidations count="1">
    <dataValidation type="list" allowBlank="1" showInputMessage="1" showErrorMessage="1" sqref="Z2:AB109" xr:uid="{14286DCC-D056-4C44-B9F7-49C5FE842B7A}">
      <formula1>"High, Medium, Low"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3347-E770-D746-A428-705A2C9BF114}">
  <dimension ref="A1:AH233"/>
  <sheetViews>
    <sheetView workbookViewId="0">
      <pane xSplit="2" ySplit="1" topLeftCell="S2" activePane="bottomRight" state="frozen"/>
      <selection pane="topRight" activeCell="C1" sqref="C1"/>
      <selection pane="bottomLeft" activeCell="A2" sqref="A2"/>
      <selection pane="bottomRight" activeCell="A3" sqref="A3"/>
    </sheetView>
  </sheetViews>
  <sheetFormatPr baseColWidth="10" defaultColWidth="11" defaultRowHeight="16" x14ac:dyDescent="0.2"/>
  <cols>
    <col min="1" max="1" width="46.5" bestFit="1" customWidth="1"/>
    <col min="20" max="20" width="18.83203125" bestFit="1" customWidth="1"/>
    <col min="21" max="21" width="22.83203125" bestFit="1" customWidth="1"/>
  </cols>
  <sheetData>
    <row r="1" spans="1:34" x14ac:dyDescent="0.2">
      <c r="A1" t="s">
        <v>233</v>
      </c>
      <c r="B1" t="s">
        <v>216</v>
      </c>
      <c r="C1" t="s">
        <v>234</v>
      </c>
      <c r="D1" t="s">
        <v>692</v>
      </c>
      <c r="E1" t="s">
        <v>235</v>
      </c>
      <c r="F1" t="s">
        <v>122</v>
      </c>
      <c r="G1" t="s">
        <v>236</v>
      </c>
      <c r="H1" t="s">
        <v>2</v>
      </c>
      <c r="I1" t="s">
        <v>237</v>
      </c>
      <c r="J1" t="s">
        <v>114</v>
      </c>
      <c r="K1" t="s">
        <v>113</v>
      </c>
      <c r="L1" t="s">
        <v>238</v>
      </c>
      <c r="M1" t="s">
        <v>239</v>
      </c>
      <c r="N1" t="s">
        <v>240</v>
      </c>
      <c r="O1" t="s">
        <v>598</v>
      </c>
      <c r="P1" t="s">
        <v>241</v>
      </c>
      <c r="Q1" t="s">
        <v>242</v>
      </c>
      <c r="R1" t="s">
        <v>243</v>
      </c>
      <c r="S1" t="s">
        <v>244</v>
      </c>
      <c r="T1" t="s">
        <v>599</v>
      </c>
      <c r="U1" t="s">
        <v>245</v>
      </c>
      <c r="V1" t="s">
        <v>600</v>
      </c>
      <c r="W1" t="s">
        <v>246</v>
      </c>
      <c r="X1" t="s">
        <v>247</v>
      </c>
      <c r="Y1" t="s">
        <v>248</v>
      </c>
      <c r="Z1" t="s">
        <v>11</v>
      </c>
      <c r="AA1" t="s">
        <v>249</v>
      </c>
      <c r="AB1" t="s">
        <v>250</v>
      </c>
      <c r="AC1" t="s">
        <v>12</v>
      </c>
      <c r="AD1" t="s">
        <v>251</v>
      </c>
      <c r="AE1" t="s">
        <v>252</v>
      </c>
      <c r="AF1" t="s">
        <v>253</v>
      </c>
      <c r="AG1" t="s">
        <v>254</v>
      </c>
      <c r="AH1" t="s">
        <v>255</v>
      </c>
    </row>
    <row r="2" spans="1:34" x14ac:dyDescent="0.2">
      <c r="A2" t="s">
        <v>230</v>
      </c>
      <c r="B2" t="s">
        <v>217</v>
      </c>
      <c r="C2" t="s">
        <v>256</v>
      </c>
      <c r="D2" t="s">
        <v>256</v>
      </c>
      <c r="E2" t="s">
        <v>257</v>
      </c>
      <c r="F2" t="s">
        <v>149</v>
      </c>
      <c r="G2" t="s">
        <v>614</v>
      </c>
      <c r="H2" t="s">
        <v>20</v>
      </c>
      <c r="I2" t="s">
        <v>320</v>
      </c>
      <c r="J2" t="s">
        <v>44</v>
      </c>
      <c r="K2" t="s">
        <v>115</v>
      </c>
      <c r="L2" t="s">
        <v>259</v>
      </c>
      <c r="M2" t="s">
        <v>260</v>
      </c>
      <c r="N2" s="58">
        <v>25000</v>
      </c>
      <c r="O2" s="58">
        <v>93000</v>
      </c>
      <c r="P2">
        <v>300</v>
      </c>
      <c r="Q2">
        <v>0</v>
      </c>
      <c r="R2" t="s">
        <v>261</v>
      </c>
      <c r="S2" s="50">
        <v>45882</v>
      </c>
      <c r="T2" s="50">
        <v>46246</v>
      </c>
      <c r="U2" s="50">
        <v>46246</v>
      </c>
      <c r="V2" t="s">
        <v>219</v>
      </c>
      <c r="Y2" t="s">
        <v>26</v>
      </c>
      <c r="Z2" t="s">
        <v>26</v>
      </c>
      <c r="AA2" t="s">
        <v>57</v>
      </c>
      <c r="AB2" t="s">
        <v>612</v>
      </c>
      <c r="AC2" t="s">
        <v>218</v>
      </c>
      <c r="AE2" t="s">
        <v>274</v>
      </c>
      <c r="AF2" t="s">
        <v>628</v>
      </c>
      <c r="AG2" t="s">
        <v>629</v>
      </c>
      <c r="AH2" t="s">
        <v>265</v>
      </c>
    </row>
    <row r="3" spans="1:34" x14ac:dyDescent="0.2">
      <c r="A3" t="s">
        <v>19</v>
      </c>
      <c r="B3" t="s">
        <v>217</v>
      </c>
      <c r="C3" t="s">
        <v>256</v>
      </c>
      <c r="D3" t="s">
        <v>256</v>
      </c>
      <c r="E3" t="s">
        <v>267</v>
      </c>
      <c r="F3" t="s">
        <v>161</v>
      </c>
      <c r="G3" t="s">
        <v>693</v>
      </c>
      <c r="H3" t="s">
        <v>23</v>
      </c>
      <c r="I3" t="s">
        <v>626</v>
      </c>
      <c r="J3" t="s">
        <v>694</v>
      </c>
      <c r="K3" t="s">
        <v>222</v>
      </c>
      <c r="L3" t="s">
        <v>259</v>
      </c>
      <c r="M3" t="s">
        <v>218</v>
      </c>
      <c r="N3" s="58">
        <v>70000</v>
      </c>
      <c r="O3" s="58">
        <v>7000</v>
      </c>
      <c r="P3">
        <v>3000</v>
      </c>
      <c r="Q3">
        <v>0</v>
      </c>
      <c r="R3" t="s">
        <v>261</v>
      </c>
      <c r="S3" s="50">
        <v>45639</v>
      </c>
      <c r="T3" s="50">
        <v>47118</v>
      </c>
      <c r="U3" s="50">
        <v>47118</v>
      </c>
      <c r="V3" t="s">
        <v>602</v>
      </c>
      <c r="W3" s="50">
        <v>46022</v>
      </c>
      <c r="Y3" t="s">
        <v>26</v>
      </c>
      <c r="Z3" t="s">
        <v>26</v>
      </c>
      <c r="AA3" t="s">
        <v>57</v>
      </c>
      <c r="AB3" t="s">
        <v>26</v>
      </c>
      <c r="AC3" t="s">
        <v>218</v>
      </c>
      <c r="AD3" s="50">
        <v>45904</v>
      </c>
      <c r="AE3" t="s">
        <v>294</v>
      </c>
      <c r="AF3" t="s">
        <v>263</v>
      </c>
      <c r="AG3" t="s">
        <v>264</v>
      </c>
      <c r="AH3" t="s">
        <v>265</v>
      </c>
    </row>
    <row r="4" spans="1:34" x14ac:dyDescent="0.2">
      <c r="A4" t="s">
        <v>22</v>
      </c>
      <c r="B4" t="s">
        <v>266</v>
      </c>
      <c r="C4" t="s">
        <v>256</v>
      </c>
      <c r="D4" t="s">
        <v>256</v>
      </c>
      <c r="E4" t="s">
        <v>267</v>
      </c>
      <c r="F4" t="s">
        <v>144</v>
      </c>
      <c r="G4" t="s">
        <v>218</v>
      </c>
      <c r="H4" t="s">
        <v>85</v>
      </c>
      <c r="I4" t="s">
        <v>601</v>
      </c>
      <c r="J4" t="s">
        <v>177</v>
      </c>
      <c r="K4" t="s">
        <v>25</v>
      </c>
      <c r="L4" t="s">
        <v>268</v>
      </c>
      <c r="M4" t="s">
        <v>218</v>
      </c>
      <c r="N4" s="58">
        <v>250000</v>
      </c>
      <c r="P4">
        <v>0</v>
      </c>
      <c r="Q4">
        <v>0</v>
      </c>
      <c r="R4" t="s">
        <v>269</v>
      </c>
      <c r="S4" s="50">
        <v>45184</v>
      </c>
      <c r="T4" s="50">
        <v>46279</v>
      </c>
      <c r="U4" s="50">
        <v>46279</v>
      </c>
      <c r="V4" t="s">
        <v>218</v>
      </c>
      <c r="Y4" t="s">
        <v>218</v>
      </c>
      <c r="Z4" t="s">
        <v>218</v>
      </c>
      <c r="AA4" t="s">
        <v>218</v>
      </c>
      <c r="AB4" t="s">
        <v>218</v>
      </c>
      <c r="AC4" t="s">
        <v>218</v>
      </c>
      <c r="AE4" t="s">
        <v>294</v>
      </c>
      <c r="AF4" t="s">
        <v>270</v>
      </c>
      <c r="AG4" t="s">
        <v>271</v>
      </c>
      <c r="AH4" t="s">
        <v>265</v>
      </c>
    </row>
    <row r="5" spans="1:34" x14ac:dyDescent="0.2">
      <c r="A5" t="s">
        <v>22</v>
      </c>
      <c r="B5" t="s">
        <v>217</v>
      </c>
      <c r="C5" t="s">
        <v>256</v>
      </c>
      <c r="D5" t="s">
        <v>256</v>
      </c>
      <c r="E5" t="s">
        <v>267</v>
      </c>
      <c r="F5" t="s">
        <v>144</v>
      </c>
      <c r="G5" t="s">
        <v>272</v>
      </c>
      <c r="H5" t="s">
        <v>23</v>
      </c>
      <c r="I5" t="s">
        <v>601</v>
      </c>
      <c r="J5" t="s">
        <v>177</v>
      </c>
      <c r="K5" t="s">
        <v>25</v>
      </c>
      <c r="L5" t="s">
        <v>268</v>
      </c>
      <c r="M5" t="s">
        <v>273</v>
      </c>
      <c r="N5" s="58">
        <v>1696550</v>
      </c>
      <c r="P5">
        <v>52000</v>
      </c>
      <c r="Q5">
        <v>3298</v>
      </c>
      <c r="R5" t="s">
        <v>269</v>
      </c>
      <c r="S5" s="50">
        <v>45184</v>
      </c>
      <c r="T5" s="50">
        <v>46279</v>
      </c>
      <c r="U5" s="50">
        <v>46279</v>
      </c>
      <c r="V5" t="s">
        <v>602</v>
      </c>
      <c r="W5" s="50">
        <v>45187</v>
      </c>
      <c r="Y5" t="s">
        <v>26</v>
      </c>
      <c r="Z5" t="s">
        <v>26</v>
      </c>
      <c r="AA5" t="s">
        <v>26</v>
      </c>
      <c r="AB5" t="s">
        <v>27</v>
      </c>
      <c r="AC5" t="s">
        <v>603</v>
      </c>
      <c r="AD5" s="50">
        <v>45999</v>
      </c>
      <c r="AE5" t="s">
        <v>294</v>
      </c>
      <c r="AF5" t="s">
        <v>270</v>
      </c>
      <c r="AG5" t="s">
        <v>271</v>
      </c>
      <c r="AH5" t="s">
        <v>265</v>
      </c>
    </row>
    <row r="6" spans="1:34" x14ac:dyDescent="0.2">
      <c r="A6" t="s">
        <v>275</v>
      </c>
      <c r="B6" t="s">
        <v>217</v>
      </c>
      <c r="C6" t="s">
        <v>634</v>
      </c>
      <c r="D6" t="s">
        <v>695</v>
      </c>
      <c r="E6" t="s">
        <v>276</v>
      </c>
      <c r="F6" t="s">
        <v>218</v>
      </c>
      <c r="G6" t="s">
        <v>218</v>
      </c>
      <c r="H6" t="s">
        <v>20</v>
      </c>
      <c r="I6" t="s">
        <v>626</v>
      </c>
      <c r="J6" t="s">
        <v>218</v>
      </c>
      <c r="K6" t="s">
        <v>218</v>
      </c>
      <c r="L6" t="s">
        <v>268</v>
      </c>
      <c r="M6" t="s">
        <v>218</v>
      </c>
      <c r="O6" s="58">
        <v>125000</v>
      </c>
      <c r="P6">
        <v>0</v>
      </c>
      <c r="Q6">
        <v>0</v>
      </c>
      <c r="R6" t="s">
        <v>261</v>
      </c>
      <c r="S6" s="50">
        <v>44378</v>
      </c>
      <c r="T6" s="50">
        <v>44651</v>
      </c>
      <c r="U6" s="50">
        <v>44651</v>
      </c>
      <c r="V6" t="s">
        <v>219</v>
      </c>
      <c r="Y6" t="s">
        <v>218</v>
      </c>
      <c r="Z6" t="s">
        <v>218</v>
      </c>
      <c r="AA6" t="s">
        <v>218</v>
      </c>
      <c r="AB6" t="s">
        <v>218</v>
      </c>
      <c r="AC6" t="s">
        <v>218</v>
      </c>
      <c r="AE6" t="s">
        <v>218</v>
      </c>
      <c r="AF6" t="s">
        <v>277</v>
      </c>
      <c r="AG6" t="s">
        <v>278</v>
      </c>
      <c r="AH6" t="s">
        <v>279</v>
      </c>
    </row>
    <row r="7" spans="1:34" x14ac:dyDescent="0.2">
      <c r="A7" t="s">
        <v>224</v>
      </c>
      <c r="B7" t="s">
        <v>217</v>
      </c>
      <c r="C7" t="s">
        <v>256</v>
      </c>
      <c r="D7" t="s">
        <v>256</v>
      </c>
      <c r="E7" t="s">
        <v>257</v>
      </c>
      <c r="F7" t="s">
        <v>144</v>
      </c>
      <c r="G7" t="s">
        <v>614</v>
      </c>
      <c r="H7" t="s">
        <v>20</v>
      </c>
      <c r="I7" t="s">
        <v>601</v>
      </c>
      <c r="J7" t="s">
        <v>29</v>
      </c>
      <c r="K7" t="s">
        <v>119</v>
      </c>
      <c r="L7" t="s">
        <v>268</v>
      </c>
      <c r="M7" t="s">
        <v>218</v>
      </c>
      <c r="N7" s="58">
        <v>150000</v>
      </c>
      <c r="O7" s="58">
        <v>300000</v>
      </c>
      <c r="P7">
        <v>5768</v>
      </c>
      <c r="Q7">
        <v>0</v>
      </c>
      <c r="R7" t="s">
        <v>383</v>
      </c>
      <c r="S7" s="50">
        <v>45797</v>
      </c>
      <c r="T7" s="50">
        <v>46162</v>
      </c>
      <c r="U7" s="50">
        <v>46162</v>
      </c>
      <c r="V7" t="s">
        <v>219</v>
      </c>
      <c r="Y7" t="s">
        <v>26</v>
      </c>
      <c r="Z7" t="s">
        <v>26</v>
      </c>
      <c r="AA7" t="s">
        <v>57</v>
      </c>
      <c r="AB7" t="s">
        <v>604</v>
      </c>
      <c r="AC7" t="s">
        <v>218</v>
      </c>
      <c r="AD7" s="50">
        <v>45898</v>
      </c>
      <c r="AE7" t="s">
        <v>262</v>
      </c>
      <c r="AF7" t="s">
        <v>605</v>
      </c>
      <c r="AG7" t="s">
        <v>278</v>
      </c>
      <c r="AH7" t="s">
        <v>279</v>
      </c>
    </row>
    <row r="8" spans="1:34" x14ac:dyDescent="0.2">
      <c r="A8" t="s">
        <v>280</v>
      </c>
      <c r="B8" t="s">
        <v>281</v>
      </c>
      <c r="C8" t="s">
        <v>634</v>
      </c>
      <c r="D8" t="s">
        <v>695</v>
      </c>
      <c r="E8" t="s">
        <v>276</v>
      </c>
      <c r="F8" t="s">
        <v>218</v>
      </c>
      <c r="G8" t="s">
        <v>218</v>
      </c>
      <c r="H8" t="s">
        <v>85</v>
      </c>
      <c r="I8" t="s">
        <v>617</v>
      </c>
      <c r="J8" t="s">
        <v>218</v>
      </c>
      <c r="K8" t="s">
        <v>218</v>
      </c>
      <c r="L8" t="s">
        <v>268</v>
      </c>
      <c r="M8" t="s">
        <v>218</v>
      </c>
      <c r="O8" s="58">
        <v>20000</v>
      </c>
      <c r="P8">
        <v>0</v>
      </c>
      <c r="Q8">
        <v>0</v>
      </c>
      <c r="R8" t="s">
        <v>261</v>
      </c>
      <c r="S8" s="50">
        <v>44866</v>
      </c>
      <c r="T8" s="50">
        <v>44957</v>
      </c>
      <c r="U8" s="50">
        <v>44957</v>
      </c>
      <c r="V8" t="s">
        <v>219</v>
      </c>
      <c r="Y8" t="s">
        <v>218</v>
      </c>
      <c r="Z8" t="s">
        <v>218</v>
      </c>
      <c r="AA8" t="s">
        <v>218</v>
      </c>
      <c r="AB8" t="s">
        <v>218</v>
      </c>
      <c r="AC8" t="s">
        <v>218</v>
      </c>
      <c r="AE8" t="s">
        <v>218</v>
      </c>
      <c r="AF8" t="s">
        <v>283</v>
      </c>
      <c r="AG8" t="s">
        <v>284</v>
      </c>
      <c r="AH8" t="s">
        <v>265</v>
      </c>
    </row>
    <row r="9" spans="1:34" x14ac:dyDescent="0.2">
      <c r="A9" t="s">
        <v>280</v>
      </c>
      <c r="B9" t="s">
        <v>31</v>
      </c>
      <c r="C9" t="s">
        <v>282</v>
      </c>
      <c r="D9" t="s">
        <v>695</v>
      </c>
      <c r="E9" t="s">
        <v>276</v>
      </c>
      <c r="F9" t="s">
        <v>218</v>
      </c>
      <c r="G9" t="s">
        <v>218</v>
      </c>
      <c r="H9" t="s">
        <v>85</v>
      </c>
      <c r="I9" t="s">
        <v>617</v>
      </c>
      <c r="J9" t="s">
        <v>218</v>
      </c>
      <c r="K9" t="s">
        <v>218</v>
      </c>
      <c r="L9" t="s">
        <v>268</v>
      </c>
      <c r="M9" t="s">
        <v>218</v>
      </c>
      <c r="P9">
        <v>0</v>
      </c>
      <c r="Q9">
        <v>0</v>
      </c>
      <c r="R9" t="s">
        <v>261</v>
      </c>
      <c r="S9" s="50">
        <v>44228</v>
      </c>
      <c r="T9" s="50">
        <v>44307</v>
      </c>
      <c r="U9" s="50">
        <v>44307</v>
      </c>
      <c r="V9" t="s">
        <v>282</v>
      </c>
      <c r="Y9" t="s">
        <v>218</v>
      </c>
      <c r="Z9" t="s">
        <v>218</v>
      </c>
      <c r="AA9" t="s">
        <v>218</v>
      </c>
      <c r="AB9" t="s">
        <v>218</v>
      </c>
      <c r="AC9" t="s">
        <v>218</v>
      </c>
      <c r="AE9" t="s">
        <v>218</v>
      </c>
      <c r="AF9" t="s">
        <v>283</v>
      </c>
      <c r="AG9" t="s">
        <v>284</v>
      </c>
      <c r="AH9" t="s">
        <v>265</v>
      </c>
    </row>
    <row r="10" spans="1:34" x14ac:dyDescent="0.2">
      <c r="A10" t="s">
        <v>630</v>
      </c>
      <c r="B10" t="s">
        <v>266</v>
      </c>
      <c r="C10" t="s">
        <v>256</v>
      </c>
      <c r="D10" t="s">
        <v>256</v>
      </c>
      <c r="E10" t="s">
        <v>267</v>
      </c>
      <c r="F10" t="s">
        <v>149</v>
      </c>
      <c r="G10" t="s">
        <v>218</v>
      </c>
      <c r="H10" t="s">
        <v>85</v>
      </c>
      <c r="I10" t="s">
        <v>402</v>
      </c>
      <c r="J10" t="s">
        <v>218</v>
      </c>
      <c r="K10" t="s">
        <v>218</v>
      </c>
      <c r="L10" t="s">
        <v>696</v>
      </c>
      <c r="M10" t="s">
        <v>218</v>
      </c>
      <c r="N10" s="58">
        <v>119800</v>
      </c>
      <c r="O10" s="58">
        <v>305000</v>
      </c>
      <c r="P10">
        <v>0</v>
      </c>
      <c r="Q10">
        <v>0</v>
      </c>
      <c r="R10" t="s">
        <v>261</v>
      </c>
      <c r="S10" s="50">
        <v>45915</v>
      </c>
      <c r="T10" s="50">
        <v>46387</v>
      </c>
      <c r="U10" s="50">
        <v>46387</v>
      </c>
      <c r="V10" t="s">
        <v>219</v>
      </c>
      <c r="Y10" t="s">
        <v>218</v>
      </c>
      <c r="Z10" t="s">
        <v>218</v>
      </c>
      <c r="AA10" t="s">
        <v>218</v>
      </c>
      <c r="AB10" t="s">
        <v>218</v>
      </c>
      <c r="AC10" t="s">
        <v>218</v>
      </c>
      <c r="AE10" t="s">
        <v>218</v>
      </c>
      <c r="AF10" t="s">
        <v>631</v>
      </c>
      <c r="AG10" t="s">
        <v>415</v>
      </c>
      <c r="AH10" t="s">
        <v>265</v>
      </c>
    </row>
    <row r="11" spans="1:34" x14ac:dyDescent="0.2">
      <c r="A11" t="s">
        <v>630</v>
      </c>
      <c r="B11" t="s">
        <v>632</v>
      </c>
      <c r="C11" t="s">
        <v>256</v>
      </c>
      <c r="D11" t="s">
        <v>256</v>
      </c>
      <c r="E11" t="s">
        <v>276</v>
      </c>
      <c r="F11" t="s">
        <v>149</v>
      </c>
      <c r="G11" t="s">
        <v>218</v>
      </c>
      <c r="H11" t="s">
        <v>85</v>
      </c>
      <c r="I11" t="s">
        <v>402</v>
      </c>
      <c r="J11" t="s">
        <v>218</v>
      </c>
      <c r="K11" t="s">
        <v>218</v>
      </c>
      <c r="L11" t="s">
        <v>268</v>
      </c>
      <c r="M11" t="s">
        <v>218</v>
      </c>
      <c r="O11" s="58">
        <v>180000</v>
      </c>
      <c r="P11">
        <v>0</v>
      </c>
      <c r="Q11">
        <v>0</v>
      </c>
      <c r="R11" t="s">
        <v>261</v>
      </c>
      <c r="S11" s="50">
        <v>45915</v>
      </c>
      <c r="T11" s="50">
        <v>46115</v>
      </c>
      <c r="U11" s="50">
        <v>46115</v>
      </c>
      <c r="V11" t="s">
        <v>219</v>
      </c>
      <c r="Y11" t="s">
        <v>218</v>
      </c>
      <c r="Z11" t="s">
        <v>218</v>
      </c>
      <c r="AA11" t="s">
        <v>218</v>
      </c>
      <c r="AB11" t="s">
        <v>218</v>
      </c>
      <c r="AC11" t="s">
        <v>218</v>
      </c>
      <c r="AE11" t="s">
        <v>218</v>
      </c>
      <c r="AF11" t="s">
        <v>631</v>
      </c>
      <c r="AG11" t="s">
        <v>415</v>
      </c>
      <c r="AH11" t="s">
        <v>265</v>
      </c>
    </row>
    <row r="12" spans="1:34" x14ac:dyDescent="0.2">
      <c r="A12" t="s">
        <v>232</v>
      </c>
      <c r="B12" t="s">
        <v>217</v>
      </c>
      <c r="C12" t="s">
        <v>256</v>
      </c>
      <c r="D12" t="s">
        <v>256</v>
      </c>
      <c r="E12" t="s">
        <v>276</v>
      </c>
      <c r="F12" t="s">
        <v>144</v>
      </c>
      <c r="G12" t="s">
        <v>697</v>
      </c>
      <c r="H12" t="s">
        <v>20</v>
      </c>
      <c r="I12" t="s">
        <v>626</v>
      </c>
      <c r="J12" t="s">
        <v>44</v>
      </c>
      <c r="K12" t="s">
        <v>115</v>
      </c>
      <c r="L12" t="s">
        <v>268</v>
      </c>
      <c r="M12" t="s">
        <v>292</v>
      </c>
      <c r="O12" s="58">
        <v>60000</v>
      </c>
      <c r="P12">
        <v>68</v>
      </c>
      <c r="Q12">
        <v>23</v>
      </c>
      <c r="R12" t="s">
        <v>261</v>
      </c>
      <c r="S12" s="50">
        <v>46112</v>
      </c>
      <c r="T12" s="50">
        <v>46234</v>
      </c>
      <c r="U12" s="50">
        <v>46234</v>
      </c>
      <c r="V12" t="s">
        <v>219</v>
      </c>
      <c r="Y12" t="s">
        <v>26</v>
      </c>
      <c r="Z12" t="s">
        <v>26</v>
      </c>
      <c r="AA12" t="s">
        <v>607</v>
      </c>
      <c r="AB12" t="s">
        <v>57</v>
      </c>
      <c r="AC12" t="s">
        <v>218</v>
      </c>
      <c r="AE12" t="s">
        <v>262</v>
      </c>
      <c r="AF12" t="s">
        <v>608</v>
      </c>
      <c r="AG12" t="s">
        <v>609</v>
      </c>
      <c r="AH12" t="s">
        <v>265</v>
      </c>
    </row>
    <row r="13" spans="1:34" x14ac:dyDescent="0.2">
      <c r="A13" t="s">
        <v>28</v>
      </c>
      <c r="B13" t="s">
        <v>217</v>
      </c>
      <c r="C13" t="s">
        <v>256</v>
      </c>
      <c r="D13" t="s">
        <v>256</v>
      </c>
      <c r="E13" t="s">
        <v>267</v>
      </c>
      <c r="F13" t="s">
        <v>155</v>
      </c>
      <c r="G13" t="s">
        <v>285</v>
      </c>
      <c r="H13" t="s">
        <v>23</v>
      </c>
      <c r="I13" t="s">
        <v>320</v>
      </c>
      <c r="J13" t="s">
        <v>178</v>
      </c>
      <c r="K13" t="s">
        <v>222</v>
      </c>
      <c r="L13" t="s">
        <v>259</v>
      </c>
      <c r="M13" t="s">
        <v>286</v>
      </c>
      <c r="N13" s="58">
        <v>220000</v>
      </c>
      <c r="P13">
        <v>6320</v>
      </c>
      <c r="Q13">
        <v>0</v>
      </c>
      <c r="R13" t="s">
        <v>261</v>
      </c>
      <c r="S13" s="50">
        <v>44805</v>
      </c>
      <c r="T13" s="50">
        <v>46824</v>
      </c>
      <c r="U13" s="50">
        <v>46824</v>
      </c>
      <c r="V13" t="s">
        <v>602</v>
      </c>
      <c r="W13" s="50">
        <v>44998</v>
      </c>
      <c r="Y13" t="s">
        <v>26</v>
      </c>
      <c r="Z13" t="s">
        <v>26</v>
      </c>
      <c r="AA13" t="s">
        <v>57</v>
      </c>
      <c r="AB13" t="s">
        <v>57</v>
      </c>
      <c r="AC13" t="s">
        <v>218</v>
      </c>
      <c r="AD13" s="50">
        <v>45881</v>
      </c>
      <c r="AE13" t="s">
        <v>274</v>
      </c>
      <c r="AF13" t="s">
        <v>287</v>
      </c>
      <c r="AG13" t="s">
        <v>288</v>
      </c>
      <c r="AH13" t="s">
        <v>265</v>
      </c>
    </row>
    <row r="14" spans="1:34" x14ac:dyDescent="0.2">
      <c r="A14" t="s">
        <v>289</v>
      </c>
      <c r="B14" t="s">
        <v>217</v>
      </c>
      <c r="C14" t="s">
        <v>634</v>
      </c>
      <c r="D14" t="s">
        <v>695</v>
      </c>
      <c r="E14" t="s">
        <v>276</v>
      </c>
      <c r="F14" t="s">
        <v>218</v>
      </c>
      <c r="G14" t="s">
        <v>218</v>
      </c>
      <c r="H14" t="s">
        <v>20</v>
      </c>
      <c r="I14" t="s">
        <v>601</v>
      </c>
      <c r="J14" t="s">
        <v>218</v>
      </c>
      <c r="K14" t="s">
        <v>218</v>
      </c>
      <c r="L14" t="s">
        <v>268</v>
      </c>
      <c r="M14" t="s">
        <v>218</v>
      </c>
      <c r="O14" s="58">
        <v>5000</v>
      </c>
      <c r="P14">
        <v>0</v>
      </c>
      <c r="Q14">
        <v>0</v>
      </c>
      <c r="R14" t="s">
        <v>261</v>
      </c>
      <c r="S14" s="50">
        <v>44470</v>
      </c>
      <c r="T14" s="50">
        <v>44887</v>
      </c>
      <c r="U14" s="50">
        <v>44887</v>
      </c>
      <c r="V14" t="s">
        <v>219</v>
      </c>
      <c r="Y14" t="s">
        <v>218</v>
      </c>
      <c r="Z14" t="s">
        <v>218</v>
      </c>
      <c r="AA14" t="s">
        <v>218</v>
      </c>
      <c r="AB14" t="s">
        <v>218</v>
      </c>
      <c r="AC14" t="s">
        <v>218</v>
      </c>
      <c r="AE14" t="s">
        <v>218</v>
      </c>
      <c r="AF14" t="s">
        <v>290</v>
      </c>
      <c r="AG14" t="s">
        <v>278</v>
      </c>
      <c r="AH14" t="s">
        <v>279</v>
      </c>
    </row>
    <row r="15" spans="1:34" x14ac:dyDescent="0.2">
      <c r="A15" t="s">
        <v>291</v>
      </c>
      <c r="B15" t="s">
        <v>217</v>
      </c>
      <c r="C15" t="s">
        <v>282</v>
      </c>
      <c r="D15" t="s">
        <v>695</v>
      </c>
      <c r="E15" t="s">
        <v>276</v>
      </c>
      <c r="F15" t="s">
        <v>149</v>
      </c>
      <c r="G15" t="s">
        <v>285</v>
      </c>
      <c r="H15" t="s">
        <v>20</v>
      </c>
      <c r="I15" t="s">
        <v>633</v>
      </c>
      <c r="J15" t="s">
        <v>60</v>
      </c>
      <c r="K15" t="s">
        <v>24</v>
      </c>
      <c r="L15" t="s">
        <v>268</v>
      </c>
      <c r="M15" t="s">
        <v>218</v>
      </c>
      <c r="P15">
        <v>1100</v>
      </c>
      <c r="Q15">
        <v>0</v>
      </c>
      <c r="R15" t="s">
        <v>261</v>
      </c>
      <c r="S15" s="50">
        <v>45355</v>
      </c>
      <c r="T15" s="50">
        <v>45565</v>
      </c>
      <c r="U15" s="50">
        <v>45565</v>
      </c>
      <c r="V15" t="s">
        <v>282</v>
      </c>
      <c r="Y15" t="s">
        <v>57</v>
      </c>
      <c r="Z15" t="s">
        <v>27</v>
      </c>
      <c r="AA15" t="s">
        <v>27</v>
      </c>
      <c r="AB15" t="s">
        <v>57</v>
      </c>
      <c r="AC15" t="s">
        <v>293</v>
      </c>
      <c r="AD15" s="50">
        <v>45457</v>
      </c>
      <c r="AE15" t="s">
        <v>294</v>
      </c>
      <c r="AF15" t="s">
        <v>295</v>
      </c>
      <c r="AG15" t="s">
        <v>278</v>
      </c>
      <c r="AH15" t="s">
        <v>296</v>
      </c>
    </row>
    <row r="16" spans="1:34" x14ac:dyDescent="0.2">
      <c r="A16" t="s">
        <v>297</v>
      </c>
      <c r="B16" t="s">
        <v>217</v>
      </c>
      <c r="C16" t="s">
        <v>282</v>
      </c>
      <c r="D16" t="s">
        <v>695</v>
      </c>
      <c r="E16" t="s">
        <v>276</v>
      </c>
      <c r="F16" t="s">
        <v>218</v>
      </c>
      <c r="G16" t="s">
        <v>218</v>
      </c>
      <c r="H16" t="s">
        <v>20</v>
      </c>
      <c r="I16" t="s">
        <v>633</v>
      </c>
      <c r="J16" t="s">
        <v>218</v>
      </c>
      <c r="K16" t="s">
        <v>218</v>
      </c>
      <c r="L16" t="s">
        <v>268</v>
      </c>
      <c r="M16" t="s">
        <v>218</v>
      </c>
      <c r="P16">
        <v>0</v>
      </c>
      <c r="Q16">
        <v>0</v>
      </c>
      <c r="R16" t="s">
        <v>261</v>
      </c>
      <c r="S16" s="50">
        <v>44075</v>
      </c>
      <c r="T16" s="50">
        <v>44196</v>
      </c>
      <c r="U16" s="50">
        <v>44196</v>
      </c>
      <c r="V16" t="s">
        <v>282</v>
      </c>
      <c r="Y16" t="s">
        <v>218</v>
      </c>
      <c r="Z16" t="s">
        <v>218</v>
      </c>
      <c r="AA16" t="s">
        <v>218</v>
      </c>
      <c r="AB16" t="s">
        <v>218</v>
      </c>
      <c r="AC16" t="s">
        <v>218</v>
      </c>
      <c r="AE16" t="s">
        <v>218</v>
      </c>
      <c r="AF16" t="s">
        <v>298</v>
      </c>
      <c r="AG16" t="s">
        <v>278</v>
      </c>
      <c r="AH16" t="s">
        <v>296</v>
      </c>
    </row>
    <row r="17" spans="1:34" x14ac:dyDescent="0.2">
      <c r="A17" t="s">
        <v>299</v>
      </c>
      <c r="B17" t="s">
        <v>217</v>
      </c>
      <c r="C17" t="s">
        <v>282</v>
      </c>
      <c r="D17" t="s">
        <v>695</v>
      </c>
      <c r="E17" t="s">
        <v>276</v>
      </c>
      <c r="F17" t="s">
        <v>218</v>
      </c>
      <c r="G17" t="s">
        <v>218</v>
      </c>
      <c r="H17" t="s">
        <v>20</v>
      </c>
      <c r="I17" t="s">
        <v>667</v>
      </c>
      <c r="J17" t="s">
        <v>218</v>
      </c>
      <c r="K17" t="s">
        <v>218</v>
      </c>
      <c r="L17" t="s">
        <v>268</v>
      </c>
      <c r="M17" t="s">
        <v>218</v>
      </c>
      <c r="P17">
        <v>0</v>
      </c>
      <c r="Q17">
        <v>0</v>
      </c>
      <c r="R17" t="s">
        <v>261</v>
      </c>
      <c r="S17" s="50">
        <v>43866</v>
      </c>
      <c r="T17" s="50">
        <v>44196</v>
      </c>
      <c r="U17" s="50">
        <v>44196</v>
      </c>
      <c r="V17" t="s">
        <v>282</v>
      </c>
      <c r="W17" s="50">
        <v>43969</v>
      </c>
      <c r="Y17" t="s">
        <v>218</v>
      </c>
      <c r="Z17" t="s">
        <v>218</v>
      </c>
      <c r="AA17" t="s">
        <v>218</v>
      </c>
      <c r="AB17" t="s">
        <v>218</v>
      </c>
      <c r="AC17" t="s">
        <v>218</v>
      </c>
      <c r="AE17" t="s">
        <v>218</v>
      </c>
      <c r="AF17" t="s">
        <v>300</v>
      </c>
      <c r="AG17" t="s">
        <v>301</v>
      </c>
      <c r="AH17" t="s">
        <v>265</v>
      </c>
    </row>
    <row r="18" spans="1:34" x14ac:dyDescent="0.2">
      <c r="A18" t="s">
        <v>30</v>
      </c>
      <c r="B18" t="s">
        <v>266</v>
      </c>
      <c r="C18" t="s">
        <v>256</v>
      </c>
      <c r="D18" t="s">
        <v>256</v>
      </c>
      <c r="E18" t="s">
        <v>267</v>
      </c>
      <c r="F18" t="s">
        <v>155</v>
      </c>
      <c r="G18" t="s">
        <v>218</v>
      </c>
      <c r="H18" t="s">
        <v>85</v>
      </c>
      <c r="I18" t="s">
        <v>611</v>
      </c>
      <c r="J18" t="s">
        <v>179</v>
      </c>
      <c r="K18" t="s">
        <v>116</v>
      </c>
      <c r="L18" t="s">
        <v>268</v>
      </c>
      <c r="M18" t="s">
        <v>218</v>
      </c>
      <c r="N18" s="58">
        <v>129600</v>
      </c>
      <c r="P18">
        <v>7500</v>
      </c>
      <c r="Q18">
        <v>0</v>
      </c>
      <c r="R18" t="s">
        <v>383</v>
      </c>
      <c r="S18" s="50">
        <v>44317</v>
      </c>
      <c r="T18" s="50">
        <v>46265</v>
      </c>
      <c r="U18" s="50">
        <v>46265</v>
      </c>
      <c r="V18" t="s">
        <v>602</v>
      </c>
      <c r="W18" s="50">
        <v>44929</v>
      </c>
      <c r="Y18" t="s">
        <v>218</v>
      </c>
      <c r="Z18" t="s">
        <v>218</v>
      </c>
      <c r="AA18" t="s">
        <v>218</v>
      </c>
      <c r="AB18" t="s">
        <v>218</v>
      </c>
      <c r="AC18" t="s">
        <v>218</v>
      </c>
      <c r="AE18" t="s">
        <v>307</v>
      </c>
      <c r="AF18" t="s">
        <v>303</v>
      </c>
      <c r="AG18" t="s">
        <v>304</v>
      </c>
      <c r="AH18" t="s">
        <v>265</v>
      </c>
    </row>
    <row r="19" spans="1:34" x14ac:dyDescent="0.2">
      <c r="A19" t="s">
        <v>30</v>
      </c>
      <c r="B19" t="s">
        <v>217</v>
      </c>
      <c r="C19" t="s">
        <v>256</v>
      </c>
      <c r="D19" t="s">
        <v>256</v>
      </c>
      <c r="E19" t="s">
        <v>267</v>
      </c>
      <c r="F19" t="s">
        <v>144</v>
      </c>
      <c r="G19" t="s">
        <v>610</v>
      </c>
      <c r="H19" t="s">
        <v>32</v>
      </c>
      <c r="I19" t="s">
        <v>611</v>
      </c>
      <c r="J19" t="s">
        <v>179</v>
      </c>
      <c r="K19" t="s">
        <v>116</v>
      </c>
      <c r="L19" t="s">
        <v>268</v>
      </c>
      <c r="M19" t="s">
        <v>292</v>
      </c>
      <c r="N19" s="58">
        <v>535000</v>
      </c>
      <c r="P19">
        <v>7650</v>
      </c>
      <c r="Q19">
        <v>0</v>
      </c>
      <c r="R19" t="s">
        <v>305</v>
      </c>
      <c r="S19" s="50">
        <v>44317</v>
      </c>
      <c r="T19" s="50">
        <v>46387</v>
      </c>
      <c r="U19" s="50">
        <v>46387</v>
      </c>
      <c r="V19" t="s">
        <v>218</v>
      </c>
      <c r="Y19" t="s">
        <v>27</v>
      </c>
      <c r="Z19" t="s">
        <v>27</v>
      </c>
      <c r="AA19" t="s">
        <v>607</v>
      </c>
      <c r="AB19" t="s">
        <v>27</v>
      </c>
      <c r="AC19" t="s">
        <v>306</v>
      </c>
      <c r="AD19" s="50">
        <v>45958</v>
      </c>
      <c r="AE19" t="s">
        <v>294</v>
      </c>
      <c r="AF19" t="s">
        <v>303</v>
      </c>
      <c r="AG19" t="s">
        <v>304</v>
      </c>
      <c r="AH19" t="s">
        <v>265</v>
      </c>
    </row>
    <row r="20" spans="1:34" x14ac:dyDescent="0.2">
      <c r="A20" t="s">
        <v>308</v>
      </c>
      <c r="B20" t="s">
        <v>217</v>
      </c>
      <c r="C20" t="s">
        <v>282</v>
      </c>
      <c r="D20" t="s">
        <v>695</v>
      </c>
      <c r="E20" t="s">
        <v>276</v>
      </c>
      <c r="F20" t="s">
        <v>218</v>
      </c>
      <c r="G20" t="s">
        <v>218</v>
      </c>
      <c r="H20" t="s">
        <v>20</v>
      </c>
      <c r="I20" t="s">
        <v>258</v>
      </c>
      <c r="J20" t="s">
        <v>309</v>
      </c>
      <c r="K20" t="s">
        <v>310</v>
      </c>
      <c r="L20" t="s">
        <v>268</v>
      </c>
      <c r="M20" t="s">
        <v>218</v>
      </c>
      <c r="P20">
        <v>250</v>
      </c>
      <c r="Q20">
        <v>140</v>
      </c>
      <c r="R20" t="s">
        <v>261</v>
      </c>
      <c r="S20" s="50">
        <v>45166</v>
      </c>
      <c r="T20" s="50">
        <v>45288</v>
      </c>
      <c r="U20" s="50">
        <v>45288</v>
      </c>
      <c r="V20" t="s">
        <v>282</v>
      </c>
      <c r="Y20" t="s">
        <v>218</v>
      </c>
      <c r="Z20" t="s">
        <v>218</v>
      </c>
      <c r="AA20" t="s">
        <v>218</v>
      </c>
      <c r="AB20" t="s">
        <v>218</v>
      </c>
      <c r="AC20" t="s">
        <v>218</v>
      </c>
      <c r="AD20" s="50">
        <v>45274</v>
      </c>
      <c r="AE20" t="s">
        <v>218</v>
      </c>
      <c r="AF20" t="s">
        <v>311</v>
      </c>
      <c r="AG20" t="s">
        <v>312</v>
      </c>
      <c r="AH20" t="s">
        <v>265</v>
      </c>
    </row>
    <row r="21" spans="1:34" x14ac:dyDescent="0.2">
      <c r="A21" t="s">
        <v>313</v>
      </c>
      <c r="B21" t="s">
        <v>217</v>
      </c>
      <c r="C21" t="s">
        <v>282</v>
      </c>
      <c r="D21" t="s">
        <v>695</v>
      </c>
      <c r="E21" t="s">
        <v>276</v>
      </c>
      <c r="F21" t="s">
        <v>218</v>
      </c>
      <c r="G21" t="s">
        <v>218</v>
      </c>
      <c r="H21" t="s">
        <v>20</v>
      </c>
      <c r="I21" t="s">
        <v>626</v>
      </c>
      <c r="J21" t="s">
        <v>314</v>
      </c>
      <c r="K21" t="s">
        <v>207</v>
      </c>
      <c r="L21" t="s">
        <v>268</v>
      </c>
      <c r="M21" t="s">
        <v>218</v>
      </c>
      <c r="P21">
        <v>83</v>
      </c>
      <c r="Q21">
        <v>41</v>
      </c>
      <c r="R21" t="s">
        <v>261</v>
      </c>
      <c r="S21" s="50">
        <v>45348</v>
      </c>
      <c r="T21" s="50">
        <v>45408</v>
      </c>
      <c r="U21" s="50">
        <v>45408</v>
      </c>
      <c r="V21" t="s">
        <v>282</v>
      </c>
      <c r="Y21" t="s">
        <v>27</v>
      </c>
      <c r="Z21" t="s">
        <v>27</v>
      </c>
      <c r="AA21" t="s">
        <v>27</v>
      </c>
      <c r="AB21" t="s">
        <v>27</v>
      </c>
      <c r="AC21" t="s">
        <v>37</v>
      </c>
      <c r="AD21" s="50">
        <v>45434</v>
      </c>
      <c r="AE21" t="s">
        <v>294</v>
      </c>
      <c r="AF21" t="s">
        <v>315</v>
      </c>
      <c r="AG21" t="s">
        <v>278</v>
      </c>
      <c r="AH21" t="s">
        <v>279</v>
      </c>
    </row>
    <row r="22" spans="1:34" x14ac:dyDescent="0.2">
      <c r="A22" t="s">
        <v>35</v>
      </c>
      <c r="B22" t="s">
        <v>217</v>
      </c>
      <c r="C22" t="s">
        <v>256</v>
      </c>
      <c r="D22" t="s">
        <v>256</v>
      </c>
      <c r="E22" t="s">
        <v>267</v>
      </c>
      <c r="F22" t="s">
        <v>155</v>
      </c>
      <c r="G22" t="s">
        <v>614</v>
      </c>
      <c r="H22" t="s">
        <v>23</v>
      </c>
      <c r="I22" t="s">
        <v>637</v>
      </c>
      <c r="J22" t="s">
        <v>36</v>
      </c>
      <c r="K22" t="s">
        <v>25</v>
      </c>
      <c r="L22" t="s">
        <v>259</v>
      </c>
      <c r="M22" t="s">
        <v>316</v>
      </c>
      <c r="N22" s="58">
        <v>40000</v>
      </c>
      <c r="O22" s="58">
        <v>4800</v>
      </c>
      <c r="P22">
        <v>206</v>
      </c>
      <c r="Q22">
        <v>0</v>
      </c>
      <c r="R22" t="s">
        <v>305</v>
      </c>
      <c r="S22" s="50">
        <v>45078</v>
      </c>
      <c r="T22" s="50">
        <v>46173</v>
      </c>
      <c r="U22" s="50">
        <v>46173</v>
      </c>
      <c r="V22" t="s">
        <v>219</v>
      </c>
      <c r="Y22" t="s">
        <v>26</v>
      </c>
      <c r="Z22" t="s">
        <v>26</v>
      </c>
      <c r="AA22" t="s">
        <v>26</v>
      </c>
      <c r="AB22" t="s">
        <v>27</v>
      </c>
      <c r="AC22" t="s">
        <v>37</v>
      </c>
      <c r="AD22" s="50">
        <v>45866</v>
      </c>
      <c r="AE22" t="s">
        <v>274</v>
      </c>
      <c r="AF22" t="s">
        <v>317</v>
      </c>
      <c r="AG22" t="s">
        <v>318</v>
      </c>
      <c r="AH22" t="s">
        <v>265</v>
      </c>
    </row>
    <row r="23" spans="1:34" x14ac:dyDescent="0.2">
      <c r="A23" t="s">
        <v>698</v>
      </c>
      <c r="B23" t="s">
        <v>217</v>
      </c>
      <c r="C23" t="s">
        <v>256</v>
      </c>
      <c r="D23" t="s">
        <v>256</v>
      </c>
      <c r="E23" t="s">
        <v>257</v>
      </c>
      <c r="F23" t="s">
        <v>155</v>
      </c>
      <c r="G23" t="s">
        <v>218</v>
      </c>
      <c r="H23" t="s">
        <v>20</v>
      </c>
      <c r="I23" t="s">
        <v>320</v>
      </c>
      <c r="J23" t="s">
        <v>179</v>
      </c>
      <c r="K23" t="s">
        <v>222</v>
      </c>
      <c r="L23" t="s">
        <v>259</v>
      </c>
      <c r="M23" t="s">
        <v>218</v>
      </c>
      <c r="N23" s="58">
        <v>25000</v>
      </c>
      <c r="O23" s="58">
        <v>15000</v>
      </c>
      <c r="P23">
        <v>320</v>
      </c>
      <c r="Q23">
        <v>0</v>
      </c>
      <c r="R23" t="s">
        <v>261</v>
      </c>
      <c r="S23" s="50">
        <v>46022</v>
      </c>
      <c r="T23" s="50">
        <v>46386</v>
      </c>
      <c r="U23" s="50">
        <v>46386</v>
      </c>
      <c r="V23" t="s">
        <v>219</v>
      </c>
      <c r="Y23" t="s">
        <v>26</v>
      </c>
      <c r="Z23" t="s">
        <v>26</v>
      </c>
      <c r="AA23" t="s">
        <v>607</v>
      </c>
      <c r="AB23" t="s">
        <v>26</v>
      </c>
      <c r="AC23" t="s">
        <v>218</v>
      </c>
      <c r="AE23" t="s">
        <v>262</v>
      </c>
      <c r="AF23" t="s">
        <v>218</v>
      </c>
      <c r="AG23" t="s">
        <v>218</v>
      </c>
      <c r="AH23" t="s">
        <v>265</v>
      </c>
    </row>
    <row r="24" spans="1:34" x14ac:dyDescent="0.2">
      <c r="A24" t="s">
        <v>38</v>
      </c>
      <c r="B24" t="s">
        <v>217</v>
      </c>
      <c r="C24" t="s">
        <v>256</v>
      </c>
      <c r="D24" t="s">
        <v>256</v>
      </c>
      <c r="E24" t="s">
        <v>267</v>
      </c>
      <c r="F24" t="s">
        <v>161</v>
      </c>
      <c r="G24" t="s">
        <v>614</v>
      </c>
      <c r="H24" t="s">
        <v>23</v>
      </c>
      <c r="I24" t="s">
        <v>626</v>
      </c>
      <c r="J24" t="s">
        <v>36</v>
      </c>
      <c r="K24" t="s">
        <v>25</v>
      </c>
      <c r="L24" t="s">
        <v>259</v>
      </c>
      <c r="M24" t="s">
        <v>316</v>
      </c>
      <c r="N24" s="58">
        <v>75000</v>
      </c>
      <c r="O24" s="58">
        <v>22500</v>
      </c>
      <c r="P24">
        <v>0</v>
      </c>
      <c r="Q24">
        <v>483</v>
      </c>
      <c r="R24" t="s">
        <v>261</v>
      </c>
      <c r="S24" s="50">
        <v>45282</v>
      </c>
      <c r="T24" s="50">
        <v>46378</v>
      </c>
      <c r="U24" s="50">
        <v>46379</v>
      </c>
      <c r="V24" t="s">
        <v>219</v>
      </c>
      <c r="Y24" t="s">
        <v>57</v>
      </c>
      <c r="Z24" t="s">
        <v>612</v>
      </c>
      <c r="AA24" t="s">
        <v>607</v>
      </c>
      <c r="AB24" t="s">
        <v>57</v>
      </c>
      <c r="AC24" t="s">
        <v>40</v>
      </c>
      <c r="AD24" s="50">
        <v>45975</v>
      </c>
      <c r="AE24" t="s">
        <v>274</v>
      </c>
      <c r="AF24" t="s">
        <v>321</v>
      </c>
      <c r="AG24" t="s">
        <v>322</v>
      </c>
      <c r="AH24" t="s">
        <v>265</v>
      </c>
    </row>
    <row r="25" spans="1:34" x14ac:dyDescent="0.2">
      <c r="A25" t="s">
        <v>668</v>
      </c>
      <c r="B25" t="s">
        <v>31</v>
      </c>
      <c r="C25" t="s">
        <v>282</v>
      </c>
      <c r="D25" t="s">
        <v>695</v>
      </c>
      <c r="E25" t="s">
        <v>276</v>
      </c>
      <c r="F25" t="s">
        <v>218</v>
      </c>
      <c r="G25" t="s">
        <v>218</v>
      </c>
      <c r="H25" t="s">
        <v>85</v>
      </c>
      <c r="I25" t="s">
        <v>402</v>
      </c>
      <c r="J25" t="s">
        <v>218</v>
      </c>
      <c r="K25" t="s">
        <v>218</v>
      </c>
      <c r="L25" t="s">
        <v>268</v>
      </c>
      <c r="M25" t="s">
        <v>218</v>
      </c>
      <c r="P25">
        <v>0</v>
      </c>
      <c r="Q25">
        <v>0</v>
      </c>
      <c r="R25" t="s">
        <v>261</v>
      </c>
      <c r="S25" s="50">
        <v>44470</v>
      </c>
      <c r="T25" s="50">
        <v>44844</v>
      </c>
      <c r="U25" s="50">
        <v>44844</v>
      </c>
      <c r="V25" t="s">
        <v>282</v>
      </c>
      <c r="Y25" t="s">
        <v>218</v>
      </c>
      <c r="Z25" t="s">
        <v>218</v>
      </c>
      <c r="AA25" t="s">
        <v>218</v>
      </c>
      <c r="AB25" t="s">
        <v>218</v>
      </c>
      <c r="AC25" t="s">
        <v>218</v>
      </c>
      <c r="AE25" t="s">
        <v>218</v>
      </c>
      <c r="AF25" t="s">
        <v>669</v>
      </c>
      <c r="AG25" t="s">
        <v>485</v>
      </c>
      <c r="AH25" t="s">
        <v>265</v>
      </c>
    </row>
    <row r="26" spans="1:34" x14ac:dyDescent="0.2">
      <c r="A26" t="s">
        <v>41</v>
      </c>
      <c r="B26" t="s">
        <v>217</v>
      </c>
      <c r="C26" t="s">
        <v>256</v>
      </c>
      <c r="D26" t="s">
        <v>256</v>
      </c>
      <c r="E26" t="s">
        <v>267</v>
      </c>
      <c r="F26" t="s">
        <v>155</v>
      </c>
      <c r="G26" t="s">
        <v>349</v>
      </c>
      <c r="H26" t="s">
        <v>23</v>
      </c>
      <c r="I26" t="s">
        <v>320</v>
      </c>
      <c r="J26" t="s">
        <v>178</v>
      </c>
      <c r="K26" t="s">
        <v>699</v>
      </c>
      <c r="L26" t="s">
        <v>259</v>
      </c>
      <c r="M26" t="s">
        <v>316</v>
      </c>
      <c r="N26" s="58">
        <v>80000</v>
      </c>
      <c r="O26" s="58">
        <v>16000</v>
      </c>
      <c r="P26">
        <v>2400</v>
      </c>
      <c r="Q26">
        <v>0</v>
      </c>
      <c r="R26" t="s">
        <v>323</v>
      </c>
      <c r="S26" s="50">
        <v>44562</v>
      </c>
      <c r="T26" s="50">
        <v>46387</v>
      </c>
      <c r="U26" s="50">
        <v>46387</v>
      </c>
      <c r="V26" t="s">
        <v>219</v>
      </c>
      <c r="Y26" t="s">
        <v>26</v>
      </c>
      <c r="Z26" t="s">
        <v>26</v>
      </c>
      <c r="AA26" t="s">
        <v>57</v>
      </c>
      <c r="AB26" t="s">
        <v>26</v>
      </c>
      <c r="AC26" t="s">
        <v>218</v>
      </c>
      <c r="AD26" s="50">
        <v>45994</v>
      </c>
      <c r="AE26" t="s">
        <v>274</v>
      </c>
      <c r="AF26" t="s">
        <v>324</v>
      </c>
      <c r="AG26" t="s">
        <v>325</v>
      </c>
      <c r="AH26" t="s">
        <v>265</v>
      </c>
    </row>
    <row r="27" spans="1:34" x14ac:dyDescent="0.2">
      <c r="A27" t="s">
        <v>326</v>
      </c>
      <c r="B27" t="s">
        <v>217</v>
      </c>
      <c r="C27" t="s">
        <v>282</v>
      </c>
      <c r="D27" t="s">
        <v>695</v>
      </c>
      <c r="E27" t="s">
        <v>276</v>
      </c>
      <c r="F27" t="s">
        <v>218</v>
      </c>
      <c r="G27" t="s">
        <v>218</v>
      </c>
      <c r="H27" t="s">
        <v>20</v>
      </c>
      <c r="I27" t="s">
        <v>617</v>
      </c>
      <c r="J27" t="s">
        <v>653</v>
      </c>
      <c r="K27" t="s">
        <v>34</v>
      </c>
      <c r="L27" t="s">
        <v>259</v>
      </c>
      <c r="M27" t="s">
        <v>218</v>
      </c>
      <c r="P27">
        <v>100</v>
      </c>
      <c r="Q27">
        <v>0</v>
      </c>
      <c r="R27" t="s">
        <v>261</v>
      </c>
      <c r="S27" s="50">
        <v>45119</v>
      </c>
      <c r="T27" s="50">
        <v>45245</v>
      </c>
      <c r="U27" s="50">
        <v>45245</v>
      </c>
      <c r="V27" t="s">
        <v>282</v>
      </c>
      <c r="Y27" t="s">
        <v>218</v>
      </c>
      <c r="Z27" t="s">
        <v>218</v>
      </c>
      <c r="AA27" t="s">
        <v>218</v>
      </c>
      <c r="AB27" t="s">
        <v>218</v>
      </c>
      <c r="AC27" t="s">
        <v>218</v>
      </c>
      <c r="AD27" s="50">
        <v>45352</v>
      </c>
      <c r="AE27" t="s">
        <v>218</v>
      </c>
      <c r="AF27" t="s">
        <v>327</v>
      </c>
      <c r="AG27" t="s">
        <v>328</v>
      </c>
      <c r="AH27" t="s">
        <v>265</v>
      </c>
    </row>
    <row r="28" spans="1:34" x14ac:dyDescent="0.2">
      <c r="A28" t="s">
        <v>326</v>
      </c>
      <c r="B28" t="s">
        <v>632</v>
      </c>
      <c r="C28" t="s">
        <v>606</v>
      </c>
      <c r="D28" t="s">
        <v>695</v>
      </c>
      <c r="F28" t="s">
        <v>218</v>
      </c>
      <c r="G28" t="s">
        <v>218</v>
      </c>
      <c r="H28" t="s">
        <v>20</v>
      </c>
      <c r="I28" t="s">
        <v>218</v>
      </c>
      <c r="J28" t="s">
        <v>653</v>
      </c>
      <c r="K28" t="s">
        <v>34</v>
      </c>
      <c r="L28" t="s">
        <v>259</v>
      </c>
      <c r="M28" t="s">
        <v>218</v>
      </c>
      <c r="O28" s="58">
        <v>75600</v>
      </c>
      <c r="P28">
        <v>0</v>
      </c>
      <c r="Q28">
        <v>0</v>
      </c>
      <c r="R28" t="s">
        <v>218</v>
      </c>
      <c r="V28" t="s">
        <v>219</v>
      </c>
      <c r="Y28" t="s">
        <v>218</v>
      </c>
      <c r="Z28" t="s">
        <v>218</v>
      </c>
      <c r="AA28" t="s">
        <v>218</v>
      </c>
      <c r="AB28" t="s">
        <v>218</v>
      </c>
      <c r="AC28" t="s">
        <v>218</v>
      </c>
      <c r="AE28" t="s">
        <v>218</v>
      </c>
      <c r="AF28" t="s">
        <v>327</v>
      </c>
      <c r="AG28" t="s">
        <v>328</v>
      </c>
      <c r="AH28" t="s">
        <v>265</v>
      </c>
    </row>
    <row r="29" spans="1:34" x14ac:dyDescent="0.2">
      <c r="A29" t="s">
        <v>798</v>
      </c>
      <c r="B29" t="s">
        <v>221</v>
      </c>
      <c r="C29" t="s">
        <v>606</v>
      </c>
      <c r="D29" t="s">
        <v>695</v>
      </c>
      <c r="F29" t="s">
        <v>218</v>
      </c>
      <c r="G29" t="s">
        <v>218</v>
      </c>
      <c r="H29" t="s">
        <v>85</v>
      </c>
      <c r="I29" t="s">
        <v>218</v>
      </c>
      <c r="J29" t="s">
        <v>218</v>
      </c>
      <c r="K29" t="s">
        <v>218</v>
      </c>
      <c r="L29" t="s">
        <v>259</v>
      </c>
      <c r="M29" t="s">
        <v>218</v>
      </c>
      <c r="O29" s="58">
        <v>5000</v>
      </c>
      <c r="P29">
        <v>0</v>
      </c>
      <c r="Q29">
        <v>0</v>
      </c>
      <c r="R29" t="s">
        <v>218</v>
      </c>
      <c r="V29" t="s">
        <v>219</v>
      </c>
      <c r="Y29" t="s">
        <v>218</v>
      </c>
      <c r="Z29" t="s">
        <v>218</v>
      </c>
      <c r="AA29" t="s">
        <v>218</v>
      </c>
      <c r="AB29" t="s">
        <v>218</v>
      </c>
      <c r="AC29" t="s">
        <v>218</v>
      </c>
      <c r="AE29" t="s">
        <v>218</v>
      </c>
      <c r="AF29" t="s">
        <v>218</v>
      </c>
      <c r="AG29" t="s">
        <v>218</v>
      </c>
      <c r="AH29" t="s">
        <v>265</v>
      </c>
    </row>
    <row r="30" spans="1:34" x14ac:dyDescent="0.2">
      <c r="A30" t="s">
        <v>181</v>
      </c>
      <c r="B30" t="s">
        <v>217</v>
      </c>
      <c r="C30" t="s">
        <v>256</v>
      </c>
      <c r="D30" t="s">
        <v>256</v>
      </c>
      <c r="E30" t="s">
        <v>267</v>
      </c>
      <c r="F30" t="s">
        <v>161</v>
      </c>
      <c r="G30" t="s">
        <v>614</v>
      </c>
      <c r="H30" t="s">
        <v>23</v>
      </c>
      <c r="I30" t="s">
        <v>626</v>
      </c>
      <c r="J30" t="s">
        <v>179</v>
      </c>
      <c r="K30" t="s">
        <v>117</v>
      </c>
      <c r="L30" t="s">
        <v>259</v>
      </c>
      <c r="M30" t="s">
        <v>292</v>
      </c>
      <c r="N30" s="58">
        <v>83046</v>
      </c>
      <c r="O30" s="58">
        <v>8305</v>
      </c>
      <c r="P30">
        <v>1916</v>
      </c>
      <c r="Q30">
        <v>0</v>
      </c>
      <c r="R30" t="s">
        <v>261</v>
      </c>
      <c r="S30" s="50">
        <v>45901</v>
      </c>
      <c r="T30" s="50">
        <v>47726</v>
      </c>
      <c r="U30" s="50">
        <v>47695</v>
      </c>
      <c r="V30" t="s">
        <v>218</v>
      </c>
      <c r="Y30" t="s">
        <v>27</v>
      </c>
      <c r="Z30" t="s">
        <v>27</v>
      </c>
      <c r="AA30" t="s">
        <v>27</v>
      </c>
      <c r="AB30" t="s">
        <v>27</v>
      </c>
      <c r="AC30" t="s">
        <v>86</v>
      </c>
      <c r="AE30" t="s">
        <v>274</v>
      </c>
      <c r="AF30" t="s">
        <v>643</v>
      </c>
      <c r="AG30" t="s">
        <v>345</v>
      </c>
      <c r="AH30" t="s">
        <v>265</v>
      </c>
    </row>
    <row r="31" spans="1:34" x14ac:dyDescent="0.2">
      <c r="A31" t="s">
        <v>329</v>
      </c>
      <c r="B31" t="s">
        <v>31</v>
      </c>
      <c r="C31" t="s">
        <v>282</v>
      </c>
      <c r="D31" t="s">
        <v>695</v>
      </c>
      <c r="E31" t="s">
        <v>276</v>
      </c>
      <c r="F31" t="s">
        <v>218</v>
      </c>
      <c r="G31" t="s">
        <v>218</v>
      </c>
      <c r="H31" t="s">
        <v>85</v>
      </c>
      <c r="I31" t="s">
        <v>611</v>
      </c>
      <c r="J31" t="s">
        <v>218</v>
      </c>
      <c r="K31" t="s">
        <v>218</v>
      </c>
      <c r="L31" t="s">
        <v>259</v>
      </c>
      <c r="M31" t="s">
        <v>218</v>
      </c>
      <c r="P31">
        <v>0</v>
      </c>
      <c r="Q31">
        <v>0</v>
      </c>
      <c r="R31" t="s">
        <v>261</v>
      </c>
      <c r="S31" s="50">
        <v>45056</v>
      </c>
      <c r="T31" s="50">
        <v>45107</v>
      </c>
      <c r="U31" s="50">
        <v>45107</v>
      </c>
      <c r="V31" t="s">
        <v>282</v>
      </c>
      <c r="Y31" t="s">
        <v>218</v>
      </c>
      <c r="Z31" t="s">
        <v>218</v>
      </c>
      <c r="AA31" t="s">
        <v>218</v>
      </c>
      <c r="AB31" t="s">
        <v>218</v>
      </c>
      <c r="AC31" t="s">
        <v>218</v>
      </c>
      <c r="AE31" t="s">
        <v>218</v>
      </c>
      <c r="AF31" t="s">
        <v>330</v>
      </c>
      <c r="AG31" t="s">
        <v>318</v>
      </c>
      <c r="AH31" t="s">
        <v>265</v>
      </c>
    </row>
    <row r="32" spans="1:34" x14ac:dyDescent="0.2">
      <c r="A32" t="s">
        <v>331</v>
      </c>
      <c r="B32" t="s">
        <v>217</v>
      </c>
      <c r="C32" t="s">
        <v>634</v>
      </c>
      <c r="D32" t="s">
        <v>695</v>
      </c>
      <c r="E32" t="s">
        <v>276</v>
      </c>
      <c r="F32" t="s">
        <v>218</v>
      </c>
      <c r="G32" t="s">
        <v>218</v>
      </c>
      <c r="H32" t="s">
        <v>20</v>
      </c>
      <c r="I32" t="s">
        <v>617</v>
      </c>
      <c r="J32" t="s">
        <v>309</v>
      </c>
      <c r="K32" t="s">
        <v>39</v>
      </c>
      <c r="L32" t="s">
        <v>268</v>
      </c>
      <c r="M32" t="s">
        <v>218</v>
      </c>
      <c r="O32" s="58">
        <v>300000</v>
      </c>
      <c r="P32">
        <v>0</v>
      </c>
      <c r="Q32">
        <v>0</v>
      </c>
      <c r="R32" t="s">
        <v>261</v>
      </c>
      <c r="S32" s="50">
        <v>44682</v>
      </c>
      <c r="T32" s="50">
        <v>44804</v>
      </c>
      <c r="U32" s="50">
        <v>44804</v>
      </c>
      <c r="V32" t="s">
        <v>219</v>
      </c>
      <c r="Y32" t="s">
        <v>218</v>
      </c>
      <c r="Z32" t="s">
        <v>218</v>
      </c>
      <c r="AA32" t="s">
        <v>218</v>
      </c>
      <c r="AB32" t="s">
        <v>218</v>
      </c>
      <c r="AC32" t="s">
        <v>218</v>
      </c>
      <c r="AD32" s="50">
        <v>45495</v>
      </c>
      <c r="AE32" t="s">
        <v>218</v>
      </c>
      <c r="AF32" t="s">
        <v>332</v>
      </c>
      <c r="AG32" t="s">
        <v>328</v>
      </c>
      <c r="AH32" t="s">
        <v>265</v>
      </c>
    </row>
    <row r="33" spans="1:34" x14ac:dyDescent="0.2">
      <c r="A33" t="s">
        <v>182</v>
      </c>
      <c r="B33" t="s">
        <v>217</v>
      </c>
      <c r="C33" t="s">
        <v>256</v>
      </c>
      <c r="D33" t="s">
        <v>256</v>
      </c>
      <c r="E33" t="s">
        <v>267</v>
      </c>
      <c r="F33" t="s">
        <v>155</v>
      </c>
      <c r="G33" t="s">
        <v>614</v>
      </c>
      <c r="H33" t="s">
        <v>23</v>
      </c>
      <c r="I33" t="s">
        <v>626</v>
      </c>
      <c r="J33" t="s">
        <v>53</v>
      </c>
      <c r="K33" t="s">
        <v>699</v>
      </c>
      <c r="L33" t="s">
        <v>259</v>
      </c>
      <c r="M33" t="s">
        <v>292</v>
      </c>
      <c r="N33" s="58">
        <v>150050</v>
      </c>
      <c r="O33" s="58">
        <v>15005</v>
      </c>
      <c r="P33">
        <v>3003</v>
      </c>
      <c r="Q33">
        <v>0</v>
      </c>
      <c r="R33" t="s">
        <v>261</v>
      </c>
      <c r="S33" s="50">
        <v>44805</v>
      </c>
      <c r="T33" s="50">
        <v>47118</v>
      </c>
      <c r="U33" s="50">
        <v>47118</v>
      </c>
      <c r="V33" t="s">
        <v>602</v>
      </c>
      <c r="W33" s="50">
        <v>45915</v>
      </c>
      <c r="Y33" t="s">
        <v>26</v>
      </c>
      <c r="Z33" t="s">
        <v>26</v>
      </c>
      <c r="AA33" t="s">
        <v>607</v>
      </c>
      <c r="AB33" t="s">
        <v>27</v>
      </c>
      <c r="AC33" t="s">
        <v>86</v>
      </c>
      <c r="AD33" s="50">
        <v>45974</v>
      </c>
      <c r="AE33" t="s">
        <v>274</v>
      </c>
      <c r="AF33" t="s">
        <v>333</v>
      </c>
      <c r="AG33" t="s">
        <v>334</v>
      </c>
      <c r="AH33" t="s">
        <v>265</v>
      </c>
    </row>
    <row r="34" spans="1:34" x14ac:dyDescent="0.2">
      <c r="A34" t="s">
        <v>335</v>
      </c>
      <c r="B34" t="s">
        <v>217</v>
      </c>
      <c r="C34" t="s">
        <v>282</v>
      </c>
      <c r="D34" t="s">
        <v>695</v>
      </c>
      <c r="E34" t="s">
        <v>276</v>
      </c>
      <c r="F34" t="s">
        <v>218</v>
      </c>
      <c r="G34" t="s">
        <v>218</v>
      </c>
      <c r="H34" t="s">
        <v>20</v>
      </c>
      <c r="I34" t="s">
        <v>626</v>
      </c>
      <c r="J34" t="s">
        <v>218</v>
      </c>
      <c r="K34" t="s">
        <v>218</v>
      </c>
      <c r="L34" t="s">
        <v>259</v>
      </c>
      <c r="M34" t="s">
        <v>218</v>
      </c>
      <c r="P34">
        <v>0</v>
      </c>
      <c r="Q34">
        <v>0</v>
      </c>
      <c r="R34" t="s">
        <v>261</v>
      </c>
      <c r="S34" s="50">
        <v>44652</v>
      </c>
      <c r="T34" s="50">
        <v>44926</v>
      </c>
      <c r="U34" s="50">
        <v>44926</v>
      </c>
      <c r="V34" t="s">
        <v>282</v>
      </c>
      <c r="Y34" t="s">
        <v>218</v>
      </c>
      <c r="Z34" t="s">
        <v>218</v>
      </c>
      <c r="AA34" t="s">
        <v>218</v>
      </c>
      <c r="AB34" t="s">
        <v>218</v>
      </c>
      <c r="AC34" t="s">
        <v>218</v>
      </c>
      <c r="AE34" t="s">
        <v>218</v>
      </c>
      <c r="AF34" t="s">
        <v>336</v>
      </c>
      <c r="AG34" t="s">
        <v>337</v>
      </c>
      <c r="AH34" t="s">
        <v>265</v>
      </c>
    </row>
    <row r="35" spans="1:34" x14ac:dyDescent="0.2">
      <c r="A35" t="s">
        <v>183</v>
      </c>
      <c r="B35" t="s">
        <v>217</v>
      </c>
      <c r="C35" t="s">
        <v>256</v>
      </c>
      <c r="D35" t="s">
        <v>256</v>
      </c>
      <c r="E35" t="s">
        <v>267</v>
      </c>
      <c r="F35" t="s">
        <v>155</v>
      </c>
      <c r="G35" t="s">
        <v>697</v>
      </c>
      <c r="H35" t="s">
        <v>20</v>
      </c>
      <c r="I35" t="s">
        <v>637</v>
      </c>
      <c r="J35" t="s">
        <v>69</v>
      </c>
      <c r="K35" t="s">
        <v>119</v>
      </c>
      <c r="L35" t="s">
        <v>259</v>
      </c>
      <c r="M35" t="s">
        <v>218</v>
      </c>
      <c r="N35" s="58">
        <v>64680</v>
      </c>
      <c r="O35" s="58">
        <v>19404</v>
      </c>
      <c r="P35">
        <v>369</v>
      </c>
      <c r="Q35">
        <v>47</v>
      </c>
      <c r="R35" t="s">
        <v>323</v>
      </c>
      <c r="S35" s="50">
        <v>45951</v>
      </c>
      <c r="T35" s="50">
        <v>47776</v>
      </c>
      <c r="U35" s="50">
        <v>47776</v>
      </c>
      <c r="V35" t="s">
        <v>218</v>
      </c>
      <c r="Y35" t="s">
        <v>27</v>
      </c>
      <c r="Z35" t="s">
        <v>27</v>
      </c>
      <c r="AA35" t="s">
        <v>27</v>
      </c>
      <c r="AB35" t="s">
        <v>27</v>
      </c>
      <c r="AC35" t="s">
        <v>644</v>
      </c>
      <c r="AE35" t="s">
        <v>262</v>
      </c>
      <c r="AF35" t="s">
        <v>645</v>
      </c>
      <c r="AG35" t="s">
        <v>328</v>
      </c>
      <c r="AH35" t="s">
        <v>265</v>
      </c>
    </row>
    <row r="36" spans="1:34" x14ac:dyDescent="0.2">
      <c r="A36" t="s">
        <v>42</v>
      </c>
      <c r="B36" t="s">
        <v>217</v>
      </c>
      <c r="C36" t="s">
        <v>256</v>
      </c>
      <c r="D36" t="s">
        <v>256</v>
      </c>
      <c r="E36" t="s">
        <v>267</v>
      </c>
      <c r="F36" t="s">
        <v>161</v>
      </c>
      <c r="G36" t="s">
        <v>349</v>
      </c>
      <c r="H36" t="s">
        <v>23</v>
      </c>
      <c r="I36" t="s">
        <v>320</v>
      </c>
      <c r="J36" t="s">
        <v>178</v>
      </c>
      <c r="K36" t="s">
        <v>115</v>
      </c>
      <c r="L36" t="s">
        <v>259</v>
      </c>
      <c r="M36" t="s">
        <v>292</v>
      </c>
      <c r="N36" s="58">
        <v>50000</v>
      </c>
      <c r="O36" s="58">
        <v>15000</v>
      </c>
      <c r="P36">
        <v>200</v>
      </c>
      <c r="Q36">
        <v>0</v>
      </c>
      <c r="R36" t="s">
        <v>261</v>
      </c>
      <c r="S36" s="50">
        <v>45505</v>
      </c>
      <c r="T36" s="50">
        <v>47330</v>
      </c>
      <c r="U36" s="50">
        <v>47330</v>
      </c>
      <c r="V36" t="s">
        <v>218</v>
      </c>
      <c r="Y36" t="s">
        <v>27</v>
      </c>
      <c r="Z36" t="s">
        <v>27</v>
      </c>
      <c r="AA36" t="s">
        <v>607</v>
      </c>
      <c r="AB36" t="s">
        <v>27</v>
      </c>
      <c r="AC36" t="s">
        <v>218</v>
      </c>
      <c r="AD36" s="50">
        <v>45957</v>
      </c>
      <c r="AE36" t="s">
        <v>274</v>
      </c>
      <c r="AF36" t="s">
        <v>338</v>
      </c>
      <c r="AG36" t="s">
        <v>339</v>
      </c>
      <c r="AH36" t="s">
        <v>265</v>
      </c>
    </row>
    <row r="37" spans="1:34" x14ac:dyDescent="0.2">
      <c r="A37" t="s">
        <v>43</v>
      </c>
      <c r="B37" t="s">
        <v>217</v>
      </c>
      <c r="C37" t="s">
        <v>256</v>
      </c>
      <c r="D37" t="s">
        <v>256</v>
      </c>
      <c r="E37" t="s">
        <v>267</v>
      </c>
      <c r="F37" t="s">
        <v>161</v>
      </c>
      <c r="G37" t="s">
        <v>614</v>
      </c>
      <c r="H37" t="s">
        <v>23</v>
      </c>
      <c r="I37" t="s">
        <v>626</v>
      </c>
      <c r="J37" t="s">
        <v>179</v>
      </c>
      <c r="K37" t="s">
        <v>222</v>
      </c>
      <c r="L37" t="s">
        <v>259</v>
      </c>
      <c r="M37" t="s">
        <v>316</v>
      </c>
      <c r="N37" s="58">
        <v>61000</v>
      </c>
      <c r="P37">
        <v>488</v>
      </c>
      <c r="Q37">
        <v>0</v>
      </c>
      <c r="R37" t="s">
        <v>261</v>
      </c>
      <c r="S37" s="50">
        <v>45292</v>
      </c>
      <c r="T37" s="50">
        <v>46752</v>
      </c>
      <c r="U37" s="50">
        <v>46416</v>
      </c>
      <c r="V37" t="s">
        <v>602</v>
      </c>
      <c r="W37" s="50">
        <v>45627</v>
      </c>
      <c r="Y37" t="s">
        <v>26</v>
      </c>
      <c r="Z37" t="s">
        <v>26</v>
      </c>
      <c r="AA37" t="s">
        <v>57</v>
      </c>
      <c r="AB37" t="s">
        <v>27</v>
      </c>
      <c r="AC37" t="s">
        <v>218</v>
      </c>
      <c r="AD37" s="50">
        <v>45880</v>
      </c>
      <c r="AE37" t="s">
        <v>274</v>
      </c>
      <c r="AF37" t="s">
        <v>340</v>
      </c>
      <c r="AG37" t="s">
        <v>341</v>
      </c>
      <c r="AH37" t="s">
        <v>265</v>
      </c>
    </row>
    <row r="38" spans="1:34" x14ac:dyDescent="0.2">
      <c r="A38" t="s">
        <v>231</v>
      </c>
      <c r="B38" t="s">
        <v>217</v>
      </c>
      <c r="C38" t="s">
        <v>256</v>
      </c>
      <c r="D38" t="s">
        <v>256</v>
      </c>
      <c r="E38" t="s">
        <v>267</v>
      </c>
      <c r="F38" t="s">
        <v>155</v>
      </c>
      <c r="G38" t="s">
        <v>218</v>
      </c>
      <c r="H38" t="s">
        <v>20</v>
      </c>
      <c r="I38" t="s">
        <v>320</v>
      </c>
      <c r="J38" t="s">
        <v>69</v>
      </c>
      <c r="K38" t="s">
        <v>117</v>
      </c>
      <c r="L38" t="s">
        <v>259</v>
      </c>
      <c r="M38" t="s">
        <v>218</v>
      </c>
      <c r="N38" s="58">
        <v>35000</v>
      </c>
      <c r="O38" s="58">
        <v>3500</v>
      </c>
      <c r="P38">
        <v>0</v>
      </c>
      <c r="Q38">
        <v>0</v>
      </c>
      <c r="R38" t="s">
        <v>261</v>
      </c>
      <c r="S38" s="50">
        <v>46022</v>
      </c>
      <c r="T38" s="50">
        <v>47879</v>
      </c>
      <c r="U38" s="50">
        <v>47879</v>
      </c>
      <c r="V38" t="s">
        <v>218</v>
      </c>
      <c r="Y38" t="s">
        <v>218</v>
      </c>
      <c r="Z38" t="s">
        <v>218</v>
      </c>
      <c r="AA38" t="s">
        <v>218</v>
      </c>
      <c r="AB38" t="s">
        <v>218</v>
      </c>
      <c r="AC38" t="s">
        <v>218</v>
      </c>
      <c r="AE38" t="s">
        <v>262</v>
      </c>
      <c r="AF38" t="s">
        <v>218</v>
      </c>
      <c r="AG38" t="s">
        <v>218</v>
      </c>
      <c r="AH38" t="s">
        <v>265</v>
      </c>
    </row>
    <row r="39" spans="1:34" x14ac:dyDescent="0.2">
      <c r="A39" t="s">
        <v>342</v>
      </c>
      <c r="B39" t="s">
        <v>31</v>
      </c>
      <c r="C39" t="s">
        <v>282</v>
      </c>
      <c r="D39" t="s">
        <v>695</v>
      </c>
      <c r="E39" t="s">
        <v>276</v>
      </c>
      <c r="F39" t="s">
        <v>218</v>
      </c>
      <c r="G39" t="s">
        <v>218</v>
      </c>
      <c r="H39" t="s">
        <v>85</v>
      </c>
      <c r="I39" t="s">
        <v>611</v>
      </c>
      <c r="J39" t="s">
        <v>218</v>
      </c>
      <c r="K39" t="s">
        <v>218</v>
      </c>
      <c r="L39" t="s">
        <v>259</v>
      </c>
      <c r="M39" t="s">
        <v>218</v>
      </c>
      <c r="P39">
        <v>0</v>
      </c>
      <c r="Q39">
        <v>0</v>
      </c>
      <c r="R39" t="s">
        <v>261</v>
      </c>
      <c r="S39" s="50">
        <v>45079</v>
      </c>
      <c r="T39" s="50">
        <v>45121</v>
      </c>
      <c r="U39" s="50">
        <v>45121</v>
      </c>
      <c r="V39" t="s">
        <v>282</v>
      </c>
      <c r="Y39" t="s">
        <v>218</v>
      </c>
      <c r="Z39" t="s">
        <v>218</v>
      </c>
      <c r="AA39" t="s">
        <v>218</v>
      </c>
      <c r="AB39" t="s">
        <v>218</v>
      </c>
      <c r="AC39" t="s">
        <v>218</v>
      </c>
      <c r="AE39" t="s">
        <v>218</v>
      </c>
      <c r="AF39" t="s">
        <v>343</v>
      </c>
      <c r="AG39" t="s">
        <v>318</v>
      </c>
      <c r="AH39" t="s">
        <v>265</v>
      </c>
    </row>
    <row r="40" spans="1:34" x14ac:dyDescent="0.2">
      <c r="A40" t="s">
        <v>45</v>
      </c>
      <c r="B40" t="s">
        <v>217</v>
      </c>
      <c r="C40" t="s">
        <v>256</v>
      </c>
      <c r="D40" t="s">
        <v>256</v>
      </c>
      <c r="E40" t="s">
        <v>257</v>
      </c>
      <c r="F40" t="s">
        <v>161</v>
      </c>
      <c r="G40" t="s">
        <v>693</v>
      </c>
      <c r="H40" t="s">
        <v>23</v>
      </c>
      <c r="I40" t="s">
        <v>626</v>
      </c>
      <c r="J40" t="s">
        <v>179</v>
      </c>
      <c r="K40" t="s">
        <v>222</v>
      </c>
      <c r="L40" t="s">
        <v>259</v>
      </c>
      <c r="M40" t="s">
        <v>292</v>
      </c>
      <c r="N40" s="58">
        <v>73875</v>
      </c>
      <c r="O40" s="58">
        <v>4888</v>
      </c>
      <c r="P40">
        <v>260</v>
      </c>
      <c r="Q40">
        <v>0</v>
      </c>
      <c r="R40" t="s">
        <v>261</v>
      </c>
      <c r="S40" s="50">
        <v>45639</v>
      </c>
      <c r="T40" s="50">
        <v>46387</v>
      </c>
      <c r="U40" s="50">
        <v>46386</v>
      </c>
      <c r="V40" t="s">
        <v>602</v>
      </c>
      <c r="W40" s="50">
        <v>46022</v>
      </c>
      <c r="Y40" t="s">
        <v>27</v>
      </c>
      <c r="Z40" t="s">
        <v>27</v>
      </c>
      <c r="AA40" t="s">
        <v>607</v>
      </c>
      <c r="AB40" t="s">
        <v>27</v>
      </c>
      <c r="AC40" t="s">
        <v>218</v>
      </c>
      <c r="AD40" s="50">
        <v>45891</v>
      </c>
      <c r="AE40" t="s">
        <v>274</v>
      </c>
      <c r="AF40" t="s">
        <v>344</v>
      </c>
      <c r="AG40" t="s">
        <v>345</v>
      </c>
      <c r="AH40" t="s">
        <v>265</v>
      </c>
    </row>
    <row r="41" spans="1:34" x14ac:dyDescent="0.2">
      <c r="A41" t="s">
        <v>46</v>
      </c>
      <c r="B41" t="s">
        <v>217</v>
      </c>
      <c r="C41" t="s">
        <v>256</v>
      </c>
      <c r="D41" t="s">
        <v>256</v>
      </c>
      <c r="E41" t="s">
        <v>257</v>
      </c>
      <c r="F41" t="s">
        <v>161</v>
      </c>
      <c r="G41" t="s">
        <v>614</v>
      </c>
      <c r="H41" t="s">
        <v>23</v>
      </c>
      <c r="I41" t="s">
        <v>320</v>
      </c>
      <c r="J41" t="s">
        <v>178</v>
      </c>
      <c r="K41" t="s">
        <v>117</v>
      </c>
      <c r="L41" t="s">
        <v>259</v>
      </c>
      <c r="M41" t="s">
        <v>316</v>
      </c>
      <c r="N41" s="58">
        <v>81000</v>
      </c>
      <c r="O41" s="58">
        <v>8100</v>
      </c>
      <c r="P41">
        <v>1148</v>
      </c>
      <c r="Q41">
        <v>283</v>
      </c>
      <c r="R41" t="s">
        <v>261</v>
      </c>
      <c r="S41" s="50">
        <v>45170</v>
      </c>
      <c r="T41" s="50">
        <v>46325</v>
      </c>
      <c r="U41" s="50">
        <v>46325</v>
      </c>
      <c r="V41" t="s">
        <v>602</v>
      </c>
      <c r="W41" s="50">
        <v>45596</v>
      </c>
      <c r="Y41" t="s">
        <v>26</v>
      </c>
      <c r="Z41" t="s">
        <v>26</v>
      </c>
      <c r="AA41" t="s">
        <v>57</v>
      </c>
      <c r="AB41" t="s">
        <v>26</v>
      </c>
      <c r="AC41" t="s">
        <v>218</v>
      </c>
      <c r="AD41" s="50">
        <v>45873</v>
      </c>
      <c r="AE41" t="s">
        <v>274</v>
      </c>
      <c r="AF41" t="s">
        <v>346</v>
      </c>
      <c r="AG41" t="s">
        <v>347</v>
      </c>
      <c r="AH41" t="s">
        <v>265</v>
      </c>
    </row>
    <row r="42" spans="1:34" x14ac:dyDescent="0.2">
      <c r="A42" t="s">
        <v>348</v>
      </c>
      <c r="B42" t="s">
        <v>217</v>
      </c>
      <c r="C42" t="s">
        <v>282</v>
      </c>
      <c r="D42" t="s">
        <v>695</v>
      </c>
      <c r="E42" t="s">
        <v>257</v>
      </c>
      <c r="F42" t="s">
        <v>149</v>
      </c>
      <c r="G42" t="s">
        <v>349</v>
      </c>
      <c r="H42" t="s">
        <v>20</v>
      </c>
      <c r="I42" t="s">
        <v>626</v>
      </c>
      <c r="J42" t="s">
        <v>44</v>
      </c>
      <c r="K42" t="s">
        <v>117</v>
      </c>
      <c r="L42" t="s">
        <v>259</v>
      </c>
      <c r="M42" t="s">
        <v>218</v>
      </c>
      <c r="P42">
        <v>250</v>
      </c>
      <c r="Q42">
        <v>0</v>
      </c>
      <c r="R42" t="s">
        <v>261</v>
      </c>
      <c r="S42" s="50">
        <v>45520</v>
      </c>
      <c r="T42" s="50">
        <v>45884</v>
      </c>
      <c r="U42" s="50">
        <v>45884</v>
      </c>
      <c r="V42" t="s">
        <v>282</v>
      </c>
      <c r="Y42" t="s">
        <v>27</v>
      </c>
      <c r="Z42" t="s">
        <v>27</v>
      </c>
      <c r="AA42" t="s">
        <v>27</v>
      </c>
      <c r="AB42" t="s">
        <v>57</v>
      </c>
      <c r="AC42" t="s">
        <v>218</v>
      </c>
      <c r="AD42" s="50">
        <v>45660</v>
      </c>
      <c r="AE42" t="s">
        <v>274</v>
      </c>
      <c r="AF42" t="s">
        <v>350</v>
      </c>
      <c r="AG42" t="s">
        <v>351</v>
      </c>
      <c r="AH42" t="s">
        <v>265</v>
      </c>
    </row>
    <row r="43" spans="1:34" x14ac:dyDescent="0.2">
      <c r="A43" t="s">
        <v>47</v>
      </c>
      <c r="B43" t="s">
        <v>217</v>
      </c>
      <c r="C43" t="s">
        <v>256</v>
      </c>
      <c r="D43" t="s">
        <v>256</v>
      </c>
      <c r="E43" t="s">
        <v>267</v>
      </c>
      <c r="F43" t="s">
        <v>149</v>
      </c>
      <c r="G43" t="s">
        <v>614</v>
      </c>
      <c r="H43" t="s">
        <v>20</v>
      </c>
      <c r="I43" t="s">
        <v>320</v>
      </c>
      <c r="J43" t="s">
        <v>44</v>
      </c>
      <c r="K43" t="s">
        <v>24</v>
      </c>
      <c r="L43" t="s">
        <v>259</v>
      </c>
      <c r="M43" t="s">
        <v>218</v>
      </c>
      <c r="N43" s="58">
        <v>50000</v>
      </c>
      <c r="O43" s="58">
        <v>252662</v>
      </c>
      <c r="P43">
        <v>650</v>
      </c>
      <c r="Q43">
        <v>0</v>
      </c>
      <c r="R43" t="s">
        <v>261</v>
      </c>
      <c r="S43" s="50">
        <v>44966</v>
      </c>
      <c r="T43" s="50">
        <v>46113</v>
      </c>
      <c r="U43" s="50">
        <v>46022</v>
      </c>
      <c r="V43" t="s">
        <v>602</v>
      </c>
      <c r="W43" s="50">
        <v>45657</v>
      </c>
      <c r="Y43" t="s">
        <v>27</v>
      </c>
      <c r="Z43" t="s">
        <v>27</v>
      </c>
      <c r="AA43" t="s">
        <v>607</v>
      </c>
      <c r="AB43" t="s">
        <v>27</v>
      </c>
      <c r="AC43" t="s">
        <v>218</v>
      </c>
      <c r="AD43" s="50">
        <v>45891</v>
      </c>
      <c r="AE43" t="s">
        <v>307</v>
      </c>
      <c r="AF43" t="s">
        <v>352</v>
      </c>
      <c r="AG43" t="s">
        <v>347</v>
      </c>
      <c r="AH43" t="s">
        <v>265</v>
      </c>
    </row>
    <row r="44" spans="1:34" x14ac:dyDescent="0.2">
      <c r="A44" t="s">
        <v>48</v>
      </c>
      <c r="B44" t="s">
        <v>217</v>
      </c>
      <c r="C44" t="s">
        <v>256</v>
      </c>
      <c r="D44" t="s">
        <v>256</v>
      </c>
      <c r="E44" t="s">
        <v>267</v>
      </c>
      <c r="F44" t="s">
        <v>155</v>
      </c>
      <c r="G44" t="s">
        <v>614</v>
      </c>
      <c r="H44" t="s">
        <v>23</v>
      </c>
      <c r="I44" t="s">
        <v>637</v>
      </c>
      <c r="J44" t="s">
        <v>36</v>
      </c>
      <c r="K44" t="s">
        <v>222</v>
      </c>
      <c r="L44" t="s">
        <v>259</v>
      </c>
      <c r="M44" t="s">
        <v>286</v>
      </c>
      <c r="N44" s="58">
        <v>46800</v>
      </c>
      <c r="O44" s="58">
        <v>29040</v>
      </c>
      <c r="P44">
        <v>2002</v>
      </c>
      <c r="Q44">
        <v>0</v>
      </c>
      <c r="R44" t="s">
        <v>323</v>
      </c>
      <c r="S44" s="50">
        <v>45281</v>
      </c>
      <c r="T44" s="50">
        <v>46376</v>
      </c>
      <c r="U44" s="50">
        <v>46376</v>
      </c>
      <c r="V44" t="s">
        <v>219</v>
      </c>
      <c r="Y44" t="s">
        <v>26</v>
      </c>
      <c r="Z44" t="s">
        <v>26</v>
      </c>
      <c r="AA44" t="s">
        <v>57</v>
      </c>
      <c r="AB44" t="s">
        <v>26</v>
      </c>
      <c r="AC44" t="s">
        <v>218</v>
      </c>
      <c r="AD44" s="50">
        <v>45987</v>
      </c>
      <c r="AE44" t="s">
        <v>274</v>
      </c>
      <c r="AF44" t="s">
        <v>353</v>
      </c>
      <c r="AG44" t="s">
        <v>354</v>
      </c>
      <c r="AH44" t="s">
        <v>265</v>
      </c>
    </row>
    <row r="45" spans="1:34" x14ac:dyDescent="0.2">
      <c r="A45" t="s">
        <v>355</v>
      </c>
      <c r="B45" t="s">
        <v>217</v>
      </c>
      <c r="C45" t="s">
        <v>302</v>
      </c>
      <c r="D45" t="s">
        <v>695</v>
      </c>
      <c r="E45" t="s">
        <v>267</v>
      </c>
      <c r="F45" t="s">
        <v>218</v>
      </c>
      <c r="G45" t="s">
        <v>218</v>
      </c>
      <c r="I45" t="s">
        <v>637</v>
      </c>
      <c r="J45" t="s">
        <v>218</v>
      </c>
      <c r="K45" t="s">
        <v>218</v>
      </c>
      <c r="L45" t="s">
        <v>259</v>
      </c>
      <c r="M45" t="s">
        <v>286</v>
      </c>
      <c r="P45">
        <v>0</v>
      </c>
      <c r="Q45">
        <v>0</v>
      </c>
      <c r="R45" t="s">
        <v>323</v>
      </c>
      <c r="S45" s="50">
        <v>44470</v>
      </c>
      <c r="T45" s="50">
        <v>45200</v>
      </c>
      <c r="U45" s="50">
        <v>46295</v>
      </c>
      <c r="V45" t="s">
        <v>218</v>
      </c>
      <c r="X45" s="50">
        <v>45200</v>
      </c>
      <c r="Y45" t="s">
        <v>218</v>
      </c>
      <c r="Z45" t="s">
        <v>218</v>
      </c>
      <c r="AA45" t="s">
        <v>218</v>
      </c>
      <c r="AB45" t="s">
        <v>218</v>
      </c>
      <c r="AC45" t="s">
        <v>218</v>
      </c>
      <c r="AE45" t="s">
        <v>218</v>
      </c>
      <c r="AF45" t="s">
        <v>356</v>
      </c>
      <c r="AG45" t="s">
        <v>328</v>
      </c>
      <c r="AH45" t="s">
        <v>265</v>
      </c>
    </row>
    <row r="46" spans="1:34" x14ac:dyDescent="0.2">
      <c r="A46" t="s">
        <v>357</v>
      </c>
      <c r="B46" t="s">
        <v>217</v>
      </c>
      <c r="C46" t="s">
        <v>282</v>
      </c>
      <c r="D46" t="s">
        <v>695</v>
      </c>
      <c r="E46" t="s">
        <v>276</v>
      </c>
      <c r="F46" t="s">
        <v>218</v>
      </c>
      <c r="G46" t="s">
        <v>218</v>
      </c>
      <c r="H46" t="s">
        <v>20</v>
      </c>
      <c r="I46" t="s">
        <v>626</v>
      </c>
      <c r="J46" t="s">
        <v>218</v>
      </c>
      <c r="K46" t="s">
        <v>218</v>
      </c>
      <c r="L46" t="s">
        <v>259</v>
      </c>
      <c r="M46" t="s">
        <v>218</v>
      </c>
      <c r="P46">
        <v>0</v>
      </c>
      <c r="Q46">
        <v>0</v>
      </c>
      <c r="R46" t="s">
        <v>261</v>
      </c>
      <c r="S46" s="50">
        <v>44774</v>
      </c>
      <c r="T46" s="50">
        <v>44895</v>
      </c>
      <c r="U46" s="50">
        <v>44895</v>
      </c>
      <c r="V46" t="s">
        <v>282</v>
      </c>
      <c r="Y46" t="s">
        <v>218</v>
      </c>
      <c r="Z46" t="s">
        <v>218</v>
      </c>
      <c r="AA46" t="s">
        <v>218</v>
      </c>
      <c r="AB46" t="s">
        <v>218</v>
      </c>
      <c r="AC46" t="s">
        <v>218</v>
      </c>
      <c r="AE46" t="s">
        <v>218</v>
      </c>
      <c r="AF46" t="s">
        <v>358</v>
      </c>
      <c r="AG46" t="s">
        <v>334</v>
      </c>
      <c r="AH46" t="s">
        <v>265</v>
      </c>
    </row>
    <row r="47" spans="1:34" x14ac:dyDescent="0.2">
      <c r="A47" t="s">
        <v>50</v>
      </c>
      <c r="B47" t="s">
        <v>217</v>
      </c>
      <c r="C47" t="s">
        <v>256</v>
      </c>
      <c r="D47" t="s">
        <v>256</v>
      </c>
      <c r="E47" t="s">
        <v>267</v>
      </c>
      <c r="F47" t="s">
        <v>161</v>
      </c>
      <c r="G47" t="s">
        <v>349</v>
      </c>
      <c r="H47" t="s">
        <v>23</v>
      </c>
      <c r="I47" t="s">
        <v>626</v>
      </c>
      <c r="J47" t="s">
        <v>179</v>
      </c>
      <c r="K47" t="s">
        <v>222</v>
      </c>
      <c r="L47" t="s">
        <v>259</v>
      </c>
      <c r="M47" t="s">
        <v>316</v>
      </c>
      <c r="N47" s="58">
        <v>135000</v>
      </c>
      <c r="O47" s="58">
        <v>100</v>
      </c>
      <c r="P47">
        <v>3580</v>
      </c>
      <c r="Q47">
        <v>0</v>
      </c>
      <c r="R47" t="s">
        <v>261</v>
      </c>
      <c r="S47" s="50">
        <v>45657</v>
      </c>
      <c r="T47" s="50">
        <v>46752</v>
      </c>
      <c r="U47" s="50">
        <v>46752</v>
      </c>
      <c r="V47" t="s">
        <v>218</v>
      </c>
      <c r="Y47" t="s">
        <v>26</v>
      </c>
      <c r="Z47" t="s">
        <v>26</v>
      </c>
      <c r="AA47" t="s">
        <v>57</v>
      </c>
      <c r="AB47" t="s">
        <v>26</v>
      </c>
      <c r="AC47" t="s">
        <v>86</v>
      </c>
      <c r="AD47" s="50">
        <v>45957</v>
      </c>
      <c r="AE47" t="s">
        <v>307</v>
      </c>
      <c r="AF47" t="s">
        <v>359</v>
      </c>
      <c r="AG47" t="s">
        <v>284</v>
      </c>
      <c r="AH47" t="s">
        <v>265</v>
      </c>
    </row>
    <row r="48" spans="1:34" x14ac:dyDescent="0.2">
      <c r="A48" t="s">
        <v>360</v>
      </c>
      <c r="B48" t="s">
        <v>281</v>
      </c>
      <c r="C48" t="s">
        <v>282</v>
      </c>
      <c r="D48" t="s">
        <v>695</v>
      </c>
      <c r="E48" t="s">
        <v>276</v>
      </c>
      <c r="F48" t="s">
        <v>218</v>
      </c>
      <c r="G48" t="s">
        <v>218</v>
      </c>
      <c r="H48" t="s">
        <v>85</v>
      </c>
      <c r="I48" t="s">
        <v>626</v>
      </c>
      <c r="J48" t="s">
        <v>218</v>
      </c>
      <c r="K48" t="s">
        <v>218</v>
      </c>
      <c r="L48" t="s">
        <v>268</v>
      </c>
      <c r="M48" t="s">
        <v>218</v>
      </c>
      <c r="P48">
        <v>0</v>
      </c>
      <c r="Q48">
        <v>0</v>
      </c>
      <c r="R48" t="s">
        <v>261</v>
      </c>
      <c r="S48" s="50">
        <v>44713</v>
      </c>
      <c r="T48" s="50">
        <v>44895</v>
      </c>
      <c r="U48" s="50">
        <v>44895</v>
      </c>
      <c r="V48" t="s">
        <v>282</v>
      </c>
      <c r="Y48" t="s">
        <v>218</v>
      </c>
      <c r="Z48" t="s">
        <v>218</v>
      </c>
      <c r="AA48" t="s">
        <v>218</v>
      </c>
      <c r="AB48" t="s">
        <v>218</v>
      </c>
      <c r="AC48" t="s">
        <v>218</v>
      </c>
      <c r="AE48" t="s">
        <v>218</v>
      </c>
      <c r="AF48" t="s">
        <v>361</v>
      </c>
      <c r="AG48" t="s">
        <v>337</v>
      </c>
      <c r="AH48" t="s">
        <v>265</v>
      </c>
    </row>
    <row r="49" spans="1:34" x14ac:dyDescent="0.2">
      <c r="A49" t="s">
        <v>52</v>
      </c>
      <c r="B49" t="s">
        <v>217</v>
      </c>
      <c r="C49" t="s">
        <v>256</v>
      </c>
      <c r="D49" t="s">
        <v>256</v>
      </c>
      <c r="E49" t="s">
        <v>267</v>
      </c>
      <c r="F49" t="s">
        <v>161</v>
      </c>
      <c r="G49" t="s">
        <v>349</v>
      </c>
      <c r="H49" t="s">
        <v>23</v>
      </c>
      <c r="I49" t="s">
        <v>637</v>
      </c>
      <c r="J49" t="s">
        <v>179</v>
      </c>
      <c r="K49" t="s">
        <v>222</v>
      </c>
      <c r="L49" t="s">
        <v>259</v>
      </c>
      <c r="M49" t="s">
        <v>316</v>
      </c>
      <c r="N49" s="58">
        <v>52000</v>
      </c>
      <c r="P49">
        <v>3200</v>
      </c>
      <c r="Q49">
        <v>0</v>
      </c>
      <c r="R49" t="s">
        <v>261</v>
      </c>
      <c r="S49" s="50">
        <v>45611</v>
      </c>
      <c r="T49" s="50">
        <v>47831</v>
      </c>
      <c r="U49" s="50">
        <v>47832</v>
      </c>
      <c r="V49" t="s">
        <v>602</v>
      </c>
      <c r="W49" s="50">
        <v>46021</v>
      </c>
      <c r="Y49" t="s">
        <v>26</v>
      </c>
      <c r="Z49" t="s">
        <v>26</v>
      </c>
      <c r="AA49" t="s">
        <v>57</v>
      </c>
      <c r="AB49" t="s">
        <v>26</v>
      </c>
      <c r="AC49" t="s">
        <v>218</v>
      </c>
      <c r="AD49" s="50">
        <v>45814</v>
      </c>
      <c r="AE49" t="s">
        <v>274</v>
      </c>
      <c r="AF49" t="s">
        <v>362</v>
      </c>
      <c r="AG49" t="s">
        <v>363</v>
      </c>
      <c r="AH49" t="s">
        <v>265</v>
      </c>
    </row>
    <row r="50" spans="1:34" x14ac:dyDescent="0.2">
      <c r="A50" t="s">
        <v>364</v>
      </c>
      <c r="B50" t="s">
        <v>217</v>
      </c>
      <c r="C50" t="s">
        <v>606</v>
      </c>
      <c r="D50" t="s">
        <v>695</v>
      </c>
      <c r="E50" t="s">
        <v>257</v>
      </c>
      <c r="F50" t="s">
        <v>149</v>
      </c>
      <c r="G50" t="s">
        <v>349</v>
      </c>
      <c r="H50" t="s">
        <v>20</v>
      </c>
      <c r="I50" t="s">
        <v>626</v>
      </c>
      <c r="J50" t="s">
        <v>694</v>
      </c>
      <c r="K50" t="s">
        <v>39</v>
      </c>
      <c r="L50" t="s">
        <v>259</v>
      </c>
      <c r="M50" t="s">
        <v>218</v>
      </c>
      <c r="O50" s="58">
        <v>154791</v>
      </c>
      <c r="P50">
        <v>0</v>
      </c>
      <c r="Q50">
        <v>130</v>
      </c>
      <c r="R50" t="s">
        <v>261</v>
      </c>
      <c r="S50" s="50">
        <v>45505</v>
      </c>
      <c r="T50" s="50">
        <v>45870</v>
      </c>
      <c r="U50" s="50">
        <v>45870</v>
      </c>
      <c r="V50" t="s">
        <v>219</v>
      </c>
      <c r="Y50" t="s">
        <v>57</v>
      </c>
      <c r="Z50" t="s">
        <v>57</v>
      </c>
      <c r="AA50" t="s">
        <v>57</v>
      </c>
      <c r="AB50" t="s">
        <v>57</v>
      </c>
      <c r="AC50" t="s">
        <v>365</v>
      </c>
      <c r="AD50" s="50">
        <v>45635</v>
      </c>
      <c r="AE50" t="s">
        <v>274</v>
      </c>
      <c r="AF50" t="s">
        <v>366</v>
      </c>
      <c r="AG50" t="s">
        <v>264</v>
      </c>
      <c r="AH50" t="s">
        <v>265</v>
      </c>
    </row>
    <row r="51" spans="1:34" x14ac:dyDescent="0.2">
      <c r="A51" t="s">
        <v>635</v>
      </c>
      <c r="B51" t="s">
        <v>217</v>
      </c>
      <c r="C51" t="s">
        <v>256</v>
      </c>
      <c r="D51" t="s">
        <v>256</v>
      </c>
      <c r="E51" t="s">
        <v>257</v>
      </c>
      <c r="F51" t="s">
        <v>149</v>
      </c>
      <c r="G51" t="s">
        <v>614</v>
      </c>
      <c r="H51" t="s">
        <v>20</v>
      </c>
      <c r="I51" t="s">
        <v>601</v>
      </c>
      <c r="J51" t="s">
        <v>60</v>
      </c>
      <c r="K51" t="s">
        <v>25</v>
      </c>
      <c r="L51" t="s">
        <v>268</v>
      </c>
      <c r="M51" t="s">
        <v>260</v>
      </c>
      <c r="N51" s="58">
        <v>179956</v>
      </c>
      <c r="O51" s="58">
        <v>66000</v>
      </c>
      <c r="P51">
        <v>1018</v>
      </c>
      <c r="Q51">
        <v>0</v>
      </c>
      <c r="R51" t="s">
        <v>261</v>
      </c>
      <c r="S51" s="50">
        <v>45870</v>
      </c>
      <c r="T51" s="50">
        <v>46234</v>
      </c>
      <c r="U51" s="50">
        <v>46234</v>
      </c>
      <c r="V51" t="s">
        <v>219</v>
      </c>
      <c r="Y51" t="s">
        <v>218</v>
      </c>
      <c r="Z51" t="s">
        <v>218</v>
      </c>
      <c r="AA51" t="s">
        <v>218</v>
      </c>
      <c r="AB51" t="s">
        <v>218</v>
      </c>
      <c r="AC51" t="s">
        <v>218</v>
      </c>
      <c r="AE51" t="s">
        <v>274</v>
      </c>
      <c r="AF51" t="s">
        <v>636</v>
      </c>
      <c r="AG51" t="s">
        <v>278</v>
      </c>
      <c r="AH51" t="s">
        <v>636</v>
      </c>
    </row>
    <row r="52" spans="1:34" x14ac:dyDescent="0.2">
      <c r="A52" t="s">
        <v>188</v>
      </c>
      <c r="B52" t="s">
        <v>281</v>
      </c>
      <c r="C52" t="s">
        <v>282</v>
      </c>
      <c r="D52" t="s">
        <v>695</v>
      </c>
      <c r="E52" t="s">
        <v>276</v>
      </c>
      <c r="F52" t="s">
        <v>218</v>
      </c>
      <c r="G52" t="s">
        <v>218</v>
      </c>
      <c r="H52" t="s">
        <v>32</v>
      </c>
      <c r="I52" t="s">
        <v>258</v>
      </c>
      <c r="J52" t="s">
        <v>60</v>
      </c>
      <c r="K52" t="s">
        <v>25</v>
      </c>
      <c r="L52" t="s">
        <v>268</v>
      </c>
      <c r="M52" t="s">
        <v>218</v>
      </c>
      <c r="P52">
        <v>0</v>
      </c>
      <c r="Q52">
        <v>0</v>
      </c>
      <c r="R52" t="s">
        <v>261</v>
      </c>
      <c r="S52" s="50">
        <v>44440</v>
      </c>
      <c r="T52" s="50">
        <v>44562</v>
      </c>
      <c r="U52" s="50">
        <v>44562</v>
      </c>
      <c r="V52" t="s">
        <v>282</v>
      </c>
      <c r="Y52" t="s">
        <v>218</v>
      </c>
      <c r="Z52" t="s">
        <v>218</v>
      </c>
      <c r="AA52" t="s">
        <v>218</v>
      </c>
      <c r="AB52" t="s">
        <v>218</v>
      </c>
      <c r="AC52" t="s">
        <v>218</v>
      </c>
      <c r="AE52" t="s">
        <v>218</v>
      </c>
      <c r="AF52" t="s">
        <v>367</v>
      </c>
      <c r="AG52" t="s">
        <v>334</v>
      </c>
      <c r="AH52" t="s">
        <v>265</v>
      </c>
    </row>
    <row r="53" spans="1:34" x14ac:dyDescent="0.2">
      <c r="A53" t="s">
        <v>188</v>
      </c>
      <c r="B53" t="s">
        <v>217</v>
      </c>
      <c r="C53" t="s">
        <v>256</v>
      </c>
      <c r="D53" t="s">
        <v>256</v>
      </c>
      <c r="E53" t="s">
        <v>257</v>
      </c>
      <c r="F53" t="s">
        <v>144</v>
      </c>
      <c r="G53" t="s">
        <v>614</v>
      </c>
      <c r="H53" t="s">
        <v>32</v>
      </c>
      <c r="I53" t="s">
        <v>258</v>
      </c>
      <c r="J53" t="s">
        <v>60</v>
      </c>
      <c r="K53" t="s">
        <v>25</v>
      </c>
      <c r="L53" t="s">
        <v>268</v>
      </c>
      <c r="M53" t="s">
        <v>292</v>
      </c>
      <c r="N53" s="58">
        <v>501456</v>
      </c>
      <c r="O53" s="58">
        <v>150437</v>
      </c>
      <c r="P53">
        <v>5000</v>
      </c>
      <c r="Q53">
        <v>0</v>
      </c>
      <c r="R53" t="s">
        <v>383</v>
      </c>
      <c r="S53" s="50">
        <v>44979</v>
      </c>
      <c r="T53" s="50">
        <v>46386</v>
      </c>
      <c r="U53" s="50">
        <v>46386</v>
      </c>
      <c r="V53" t="s">
        <v>602</v>
      </c>
      <c r="W53" s="50">
        <v>45358</v>
      </c>
      <c r="Y53" t="s">
        <v>27</v>
      </c>
      <c r="Z53" t="s">
        <v>27</v>
      </c>
      <c r="AA53" t="s">
        <v>607</v>
      </c>
      <c r="AB53" t="s">
        <v>27</v>
      </c>
      <c r="AC53" t="s">
        <v>368</v>
      </c>
      <c r="AD53" s="50">
        <v>45818</v>
      </c>
      <c r="AE53" t="s">
        <v>274</v>
      </c>
      <c r="AF53" t="s">
        <v>367</v>
      </c>
      <c r="AG53" t="s">
        <v>334</v>
      </c>
      <c r="AH53" t="s">
        <v>265</v>
      </c>
    </row>
    <row r="54" spans="1:34" x14ac:dyDescent="0.2">
      <c r="A54" t="s">
        <v>369</v>
      </c>
      <c r="B54" t="s">
        <v>217</v>
      </c>
      <c r="C54" t="s">
        <v>634</v>
      </c>
      <c r="D54" t="s">
        <v>695</v>
      </c>
      <c r="E54" t="s">
        <v>276</v>
      </c>
      <c r="F54" t="s">
        <v>218</v>
      </c>
      <c r="G54" t="s">
        <v>218</v>
      </c>
      <c r="H54" t="s">
        <v>20</v>
      </c>
      <c r="I54" t="s">
        <v>637</v>
      </c>
      <c r="J54" t="s">
        <v>218</v>
      </c>
      <c r="K54" t="s">
        <v>218</v>
      </c>
      <c r="L54" t="s">
        <v>259</v>
      </c>
      <c r="M54" t="s">
        <v>218</v>
      </c>
      <c r="O54" s="58">
        <v>40000</v>
      </c>
      <c r="P54">
        <v>0</v>
      </c>
      <c r="Q54">
        <v>0</v>
      </c>
      <c r="R54" t="s">
        <v>261</v>
      </c>
      <c r="S54" s="50">
        <v>44348</v>
      </c>
      <c r="T54" s="50">
        <v>44510</v>
      </c>
      <c r="U54" s="50">
        <v>44510</v>
      </c>
      <c r="V54" t="s">
        <v>219</v>
      </c>
      <c r="Y54" t="s">
        <v>218</v>
      </c>
      <c r="Z54" t="s">
        <v>218</v>
      </c>
      <c r="AA54" t="s">
        <v>218</v>
      </c>
      <c r="AB54" t="s">
        <v>218</v>
      </c>
      <c r="AC54" t="s">
        <v>218</v>
      </c>
      <c r="AE54" t="s">
        <v>218</v>
      </c>
      <c r="AF54" t="s">
        <v>370</v>
      </c>
      <c r="AG54" t="s">
        <v>371</v>
      </c>
      <c r="AH54" t="s">
        <v>265</v>
      </c>
    </row>
    <row r="55" spans="1:34" x14ac:dyDescent="0.2">
      <c r="A55" t="s">
        <v>54</v>
      </c>
      <c r="B55" t="s">
        <v>217</v>
      </c>
      <c r="C55" t="s">
        <v>256</v>
      </c>
      <c r="D55" t="s">
        <v>256</v>
      </c>
      <c r="E55" t="s">
        <v>267</v>
      </c>
      <c r="F55" t="s">
        <v>144</v>
      </c>
      <c r="G55" t="s">
        <v>700</v>
      </c>
      <c r="H55" t="s">
        <v>32</v>
      </c>
      <c r="I55" t="s">
        <v>611</v>
      </c>
      <c r="J55" t="s">
        <v>207</v>
      </c>
      <c r="K55" t="s">
        <v>119</v>
      </c>
      <c r="L55" t="s">
        <v>268</v>
      </c>
      <c r="M55" t="s">
        <v>316</v>
      </c>
      <c r="N55" s="58">
        <v>1731669</v>
      </c>
      <c r="O55" s="58">
        <v>422729</v>
      </c>
      <c r="P55">
        <v>41600</v>
      </c>
      <c r="Q55">
        <v>0</v>
      </c>
      <c r="R55" t="s">
        <v>305</v>
      </c>
      <c r="S55" s="50">
        <v>44440</v>
      </c>
      <c r="T55" s="50">
        <v>46234</v>
      </c>
      <c r="U55" s="50">
        <v>46234</v>
      </c>
      <c r="V55" t="s">
        <v>602</v>
      </c>
      <c r="W55" s="50">
        <v>44931</v>
      </c>
      <c r="Y55" t="s">
        <v>57</v>
      </c>
      <c r="Z55" t="s">
        <v>57</v>
      </c>
      <c r="AA55" t="s">
        <v>57</v>
      </c>
      <c r="AB55" t="s">
        <v>27</v>
      </c>
      <c r="AC55" t="s">
        <v>613</v>
      </c>
      <c r="AD55" s="50">
        <v>45985</v>
      </c>
      <c r="AE55" t="s">
        <v>307</v>
      </c>
      <c r="AF55" t="s">
        <v>372</v>
      </c>
      <c r="AG55" t="s">
        <v>341</v>
      </c>
      <c r="AH55" t="s">
        <v>265</v>
      </c>
    </row>
    <row r="56" spans="1:34" x14ac:dyDescent="0.2">
      <c r="A56" t="s">
        <v>56</v>
      </c>
      <c r="B56" t="s">
        <v>217</v>
      </c>
      <c r="C56" t="s">
        <v>256</v>
      </c>
      <c r="D56" t="s">
        <v>256</v>
      </c>
      <c r="E56" t="s">
        <v>267</v>
      </c>
      <c r="F56" t="s">
        <v>155</v>
      </c>
      <c r="G56" t="s">
        <v>701</v>
      </c>
      <c r="H56" t="s">
        <v>23</v>
      </c>
      <c r="I56" t="s">
        <v>626</v>
      </c>
      <c r="J56" t="s">
        <v>53</v>
      </c>
      <c r="K56" t="s">
        <v>119</v>
      </c>
      <c r="L56" t="s">
        <v>259</v>
      </c>
      <c r="M56" t="s">
        <v>286</v>
      </c>
      <c r="N56" s="58">
        <v>144000</v>
      </c>
      <c r="O56" s="58">
        <v>100</v>
      </c>
      <c r="P56">
        <v>0</v>
      </c>
      <c r="Q56">
        <v>2967</v>
      </c>
      <c r="R56" t="s">
        <v>323</v>
      </c>
      <c r="S56" s="50">
        <v>44317</v>
      </c>
      <c r="T56" s="50">
        <v>46387</v>
      </c>
      <c r="U56" s="50">
        <v>46388</v>
      </c>
      <c r="V56" t="s">
        <v>602</v>
      </c>
      <c r="W56" s="50">
        <v>44573</v>
      </c>
      <c r="Y56" t="s">
        <v>57</v>
      </c>
      <c r="Z56" t="s">
        <v>27</v>
      </c>
      <c r="AA56" t="s">
        <v>57</v>
      </c>
      <c r="AB56" t="s">
        <v>57</v>
      </c>
      <c r="AC56" t="s">
        <v>646</v>
      </c>
      <c r="AD56" s="50">
        <v>45603</v>
      </c>
      <c r="AE56" t="s">
        <v>274</v>
      </c>
      <c r="AF56" t="s">
        <v>373</v>
      </c>
      <c r="AG56" t="s">
        <v>322</v>
      </c>
      <c r="AH56" t="s">
        <v>265</v>
      </c>
    </row>
    <row r="57" spans="1:34" x14ac:dyDescent="0.2">
      <c r="A57" t="s">
        <v>374</v>
      </c>
      <c r="B57" t="s">
        <v>217</v>
      </c>
      <c r="C57" t="s">
        <v>634</v>
      </c>
      <c r="D57" t="s">
        <v>695</v>
      </c>
      <c r="E57" t="s">
        <v>276</v>
      </c>
      <c r="F57" t="s">
        <v>218</v>
      </c>
      <c r="G57" t="s">
        <v>218</v>
      </c>
      <c r="H57" t="s">
        <v>20</v>
      </c>
      <c r="I57" t="s">
        <v>320</v>
      </c>
      <c r="J57" t="s">
        <v>218</v>
      </c>
      <c r="K57" t="s">
        <v>218</v>
      </c>
      <c r="L57" t="s">
        <v>259</v>
      </c>
      <c r="M57" t="s">
        <v>218</v>
      </c>
      <c r="O57" s="58">
        <v>8000</v>
      </c>
      <c r="P57">
        <v>0</v>
      </c>
      <c r="Q57">
        <v>0</v>
      </c>
      <c r="R57" t="s">
        <v>261</v>
      </c>
      <c r="S57" s="50">
        <v>44743</v>
      </c>
      <c r="T57" s="50">
        <v>44926</v>
      </c>
      <c r="U57" s="50">
        <v>44926</v>
      </c>
      <c r="V57" t="s">
        <v>219</v>
      </c>
      <c r="Y57" t="s">
        <v>218</v>
      </c>
      <c r="Z57" t="s">
        <v>218</v>
      </c>
      <c r="AA57" t="s">
        <v>218</v>
      </c>
      <c r="AB57" t="s">
        <v>218</v>
      </c>
      <c r="AC57" t="s">
        <v>218</v>
      </c>
      <c r="AE57" t="s">
        <v>218</v>
      </c>
      <c r="AF57" t="s">
        <v>375</v>
      </c>
      <c r="AG57" t="s">
        <v>325</v>
      </c>
      <c r="AH57" t="s">
        <v>265</v>
      </c>
    </row>
    <row r="58" spans="1:34" x14ac:dyDescent="0.2">
      <c r="A58" t="s">
        <v>225</v>
      </c>
      <c r="B58" t="s">
        <v>221</v>
      </c>
      <c r="C58" t="s">
        <v>634</v>
      </c>
      <c r="D58" t="s">
        <v>695</v>
      </c>
      <c r="E58" t="s">
        <v>257</v>
      </c>
      <c r="F58" t="s">
        <v>155</v>
      </c>
      <c r="G58" t="s">
        <v>218</v>
      </c>
      <c r="H58" t="s">
        <v>85</v>
      </c>
      <c r="I58" t="s">
        <v>258</v>
      </c>
      <c r="J58" t="s">
        <v>222</v>
      </c>
      <c r="K58" t="s">
        <v>222</v>
      </c>
      <c r="L58" t="s">
        <v>268</v>
      </c>
      <c r="M58" t="s">
        <v>218</v>
      </c>
      <c r="O58" s="58">
        <v>300000</v>
      </c>
      <c r="P58">
        <v>0</v>
      </c>
      <c r="Q58">
        <v>0</v>
      </c>
      <c r="R58" t="s">
        <v>261</v>
      </c>
      <c r="S58" s="50">
        <v>45208</v>
      </c>
      <c r="T58" s="50">
        <v>45536</v>
      </c>
      <c r="U58" s="50">
        <v>45657</v>
      </c>
      <c r="V58" t="s">
        <v>602</v>
      </c>
      <c r="W58" s="50">
        <v>45291</v>
      </c>
      <c r="Y58" t="s">
        <v>218</v>
      </c>
      <c r="Z58" t="s">
        <v>218</v>
      </c>
      <c r="AA58" t="s">
        <v>218</v>
      </c>
      <c r="AB58" t="s">
        <v>218</v>
      </c>
      <c r="AC58" t="s">
        <v>218</v>
      </c>
      <c r="AE58" t="s">
        <v>294</v>
      </c>
      <c r="AF58" t="s">
        <v>376</v>
      </c>
      <c r="AG58" t="s">
        <v>278</v>
      </c>
      <c r="AH58" t="s">
        <v>377</v>
      </c>
    </row>
    <row r="59" spans="1:34" x14ac:dyDescent="0.2">
      <c r="A59" t="s">
        <v>58</v>
      </c>
      <c r="B59" t="s">
        <v>217</v>
      </c>
      <c r="C59" t="s">
        <v>256</v>
      </c>
      <c r="D59" t="s">
        <v>256</v>
      </c>
      <c r="E59" t="s">
        <v>267</v>
      </c>
      <c r="F59" t="s">
        <v>155</v>
      </c>
      <c r="G59" t="s">
        <v>285</v>
      </c>
      <c r="H59" t="s">
        <v>23</v>
      </c>
      <c r="I59" t="s">
        <v>402</v>
      </c>
      <c r="J59" t="s">
        <v>694</v>
      </c>
      <c r="K59" t="s">
        <v>119</v>
      </c>
      <c r="L59" t="s">
        <v>268</v>
      </c>
      <c r="M59" t="s">
        <v>273</v>
      </c>
      <c r="N59" s="58">
        <v>237500</v>
      </c>
      <c r="O59" s="58">
        <v>214000</v>
      </c>
      <c r="P59">
        <v>5025</v>
      </c>
      <c r="Q59">
        <v>300</v>
      </c>
      <c r="R59" t="s">
        <v>261</v>
      </c>
      <c r="S59" s="50">
        <v>44378</v>
      </c>
      <c r="T59" s="50">
        <v>46317</v>
      </c>
      <c r="U59" s="50">
        <v>46256</v>
      </c>
      <c r="V59" t="s">
        <v>602</v>
      </c>
      <c r="W59" s="50">
        <v>45217</v>
      </c>
      <c r="Y59" t="s">
        <v>26</v>
      </c>
      <c r="Z59" t="s">
        <v>27</v>
      </c>
      <c r="AA59" t="s">
        <v>57</v>
      </c>
      <c r="AB59" t="s">
        <v>27</v>
      </c>
      <c r="AC59" t="s">
        <v>218</v>
      </c>
      <c r="AD59" s="50">
        <v>45971</v>
      </c>
      <c r="AE59" t="s">
        <v>274</v>
      </c>
      <c r="AF59" t="s">
        <v>378</v>
      </c>
      <c r="AG59" t="s">
        <v>328</v>
      </c>
      <c r="AH59" t="s">
        <v>265</v>
      </c>
    </row>
    <row r="60" spans="1:34" x14ac:dyDescent="0.2">
      <c r="A60" t="s">
        <v>58</v>
      </c>
      <c r="B60" t="s">
        <v>632</v>
      </c>
      <c r="C60" t="s">
        <v>256</v>
      </c>
      <c r="D60" t="s">
        <v>256</v>
      </c>
      <c r="E60" t="s">
        <v>257</v>
      </c>
      <c r="F60" t="s">
        <v>155</v>
      </c>
      <c r="G60" t="s">
        <v>218</v>
      </c>
      <c r="H60" t="s">
        <v>23</v>
      </c>
      <c r="I60" t="s">
        <v>402</v>
      </c>
      <c r="J60" t="s">
        <v>694</v>
      </c>
      <c r="K60" t="s">
        <v>119</v>
      </c>
      <c r="L60" t="s">
        <v>268</v>
      </c>
      <c r="M60" t="s">
        <v>218</v>
      </c>
      <c r="N60" s="58">
        <v>49990</v>
      </c>
      <c r="P60">
        <v>0</v>
      </c>
      <c r="Q60">
        <v>0</v>
      </c>
      <c r="R60" t="s">
        <v>261</v>
      </c>
      <c r="S60" s="50">
        <v>45838</v>
      </c>
      <c r="T60" s="50">
        <v>46203</v>
      </c>
      <c r="U60" s="50">
        <v>46203</v>
      </c>
      <c r="V60" t="s">
        <v>219</v>
      </c>
      <c r="Y60" t="s">
        <v>218</v>
      </c>
      <c r="Z60" t="s">
        <v>218</v>
      </c>
      <c r="AA60" t="s">
        <v>218</v>
      </c>
      <c r="AB60" t="s">
        <v>218</v>
      </c>
      <c r="AC60" t="s">
        <v>218</v>
      </c>
      <c r="AE60" t="s">
        <v>218</v>
      </c>
      <c r="AF60" t="s">
        <v>378</v>
      </c>
      <c r="AG60" t="s">
        <v>328</v>
      </c>
      <c r="AH60" t="s">
        <v>265</v>
      </c>
    </row>
    <row r="61" spans="1:34" x14ac:dyDescent="0.2">
      <c r="A61" t="s">
        <v>229</v>
      </c>
      <c r="B61" t="s">
        <v>217</v>
      </c>
      <c r="C61" t="s">
        <v>256</v>
      </c>
      <c r="D61" t="s">
        <v>256</v>
      </c>
      <c r="E61" t="s">
        <v>276</v>
      </c>
      <c r="F61" t="s">
        <v>149</v>
      </c>
      <c r="G61" t="s">
        <v>614</v>
      </c>
      <c r="H61" t="s">
        <v>20</v>
      </c>
      <c r="I61" t="s">
        <v>258</v>
      </c>
      <c r="J61" t="s">
        <v>44</v>
      </c>
      <c r="K61" t="s">
        <v>207</v>
      </c>
      <c r="L61" t="s">
        <v>259</v>
      </c>
      <c r="M61" t="s">
        <v>218</v>
      </c>
      <c r="P61">
        <v>82</v>
      </c>
      <c r="Q61">
        <v>15</v>
      </c>
      <c r="R61" t="s">
        <v>261</v>
      </c>
      <c r="S61" s="50">
        <v>45155</v>
      </c>
      <c r="T61" s="50">
        <v>46112</v>
      </c>
      <c r="U61" s="50">
        <v>46112</v>
      </c>
      <c r="V61" t="s">
        <v>602</v>
      </c>
      <c r="W61" s="50">
        <v>45307</v>
      </c>
      <c r="Y61" t="s">
        <v>27</v>
      </c>
      <c r="Z61" t="s">
        <v>57</v>
      </c>
      <c r="AA61" t="s">
        <v>27</v>
      </c>
      <c r="AB61" t="s">
        <v>27</v>
      </c>
      <c r="AC61" t="s">
        <v>379</v>
      </c>
      <c r="AD61" s="50">
        <v>46027</v>
      </c>
      <c r="AE61" t="s">
        <v>274</v>
      </c>
      <c r="AF61" t="s">
        <v>380</v>
      </c>
      <c r="AG61" t="s">
        <v>318</v>
      </c>
      <c r="AH61" t="s">
        <v>265</v>
      </c>
    </row>
    <row r="62" spans="1:34" x14ac:dyDescent="0.2">
      <c r="A62" t="s">
        <v>381</v>
      </c>
      <c r="B62" t="s">
        <v>217</v>
      </c>
      <c r="C62" t="s">
        <v>302</v>
      </c>
      <c r="D62" t="s">
        <v>695</v>
      </c>
      <c r="E62" t="s">
        <v>267</v>
      </c>
      <c r="F62" t="s">
        <v>218</v>
      </c>
      <c r="G62" t="s">
        <v>218</v>
      </c>
      <c r="H62" t="s">
        <v>20</v>
      </c>
      <c r="I62" t="s">
        <v>258</v>
      </c>
      <c r="J62" t="s">
        <v>382</v>
      </c>
      <c r="K62" t="s">
        <v>117</v>
      </c>
      <c r="L62" t="s">
        <v>268</v>
      </c>
      <c r="M62" t="s">
        <v>273</v>
      </c>
      <c r="P62">
        <v>0</v>
      </c>
      <c r="Q62">
        <v>28</v>
      </c>
      <c r="R62" t="s">
        <v>383</v>
      </c>
      <c r="S62" s="50">
        <v>45078</v>
      </c>
      <c r="T62" s="50">
        <v>45444</v>
      </c>
      <c r="U62" s="50">
        <v>46173</v>
      </c>
      <c r="V62" t="s">
        <v>218</v>
      </c>
      <c r="X62" s="50">
        <v>45444</v>
      </c>
      <c r="Y62" t="s">
        <v>218</v>
      </c>
      <c r="Z62" t="s">
        <v>218</v>
      </c>
      <c r="AA62" t="s">
        <v>218</v>
      </c>
      <c r="AB62" t="s">
        <v>218</v>
      </c>
      <c r="AC62" t="s">
        <v>218</v>
      </c>
      <c r="AD62" s="50">
        <v>45177</v>
      </c>
      <c r="AE62" t="s">
        <v>294</v>
      </c>
      <c r="AF62" t="s">
        <v>384</v>
      </c>
      <c r="AG62" t="s">
        <v>278</v>
      </c>
      <c r="AH62" t="s">
        <v>385</v>
      </c>
    </row>
    <row r="63" spans="1:34" x14ac:dyDescent="0.2">
      <c r="A63" t="s">
        <v>386</v>
      </c>
      <c r="B63" t="s">
        <v>281</v>
      </c>
      <c r="C63" t="s">
        <v>634</v>
      </c>
      <c r="D63" t="s">
        <v>695</v>
      </c>
      <c r="E63" t="s">
        <v>276</v>
      </c>
      <c r="F63" t="s">
        <v>218</v>
      </c>
      <c r="G63" t="s">
        <v>218</v>
      </c>
      <c r="H63" t="s">
        <v>20</v>
      </c>
      <c r="I63" t="s">
        <v>402</v>
      </c>
      <c r="J63" t="s">
        <v>655</v>
      </c>
      <c r="K63" t="s">
        <v>117</v>
      </c>
      <c r="L63" t="s">
        <v>268</v>
      </c>
      <c r="M63" t="s">
        <v>218</v>
      </c>
      <c r="O63" s="58">
        <v>220000</v>
      </c>
      <c r="P63">
        <v>0</v>
      </c>
      <c r="Q63">
        <v>94</v>
      </c>
      <c r="R63" t="s">
        <v>261</v>
      </c>
      <c r="S63" s="50">
        <v>45223</v>
      </c>
      <c r="T63" s="50">
        <v>45350</v>
      </c>
      <c r="U63" s="50">
        <v>45350</v>
      </c>
      <c r="V63" t="s">
        <v>219</v>
      </c>
      <c r="Y63" t="s">
        <v>218</v>
      </c>
      <c r="Z63" t="s">
        <v>218</v>
      </c>
      <c r="AA63" t="s">
        <v>218</v>
      </c>
      <c r="AB63" t="s">
        <v>218</v>
      </c>
      <c r="AC63" t="s">
        <v>218</v>
      </c>
      <c r="AD63" s="50">
        <v>45330</v>
      </c>
      <c r="AE63" t="s">
        <v>294</v>
      </c>
      <c r="AF63" t="s">
        <v>387</v>
      </c>
      <c r="AG63" t="s">
        <v>278</v>
      </c>
      <c r="AH63" t="s">
        <v>279</v>
      </c>
    </row>
    <row r="64" spans="1:34" x14ac:dyDescent="0.2">
      <c r="A64" t="s">
        <v>59</v>
      </c>
      <c r="B64" t="s">
        <v>217</v>
      </c>
      <c r="C64" t="s">
        <v>256</v>
      </c>
      <c r="D64" t="s">
        <v>256</v>
      </c>
      <c r="E64" t="s">
        <v>257</v>
      </c>
      <c r="F64" t="s">
        <v>144</v>
      </c>
      <c r="G64" t="s">
        <v>701</v>
      </c>
      <c r="H64" t="s">
        <v>20</v>
      </c>
      <c r="I64" t="s">
        <v>601</v>
      </c>
      <c r="J64" t="s">
        <v>60</v>
      </c>
      <c r="K64" t="s">
        <v>119</v>
      </c>
      <c r="L64" t="s">
        <v>268</v>
      </c>
      <c r="M64" t="s">
        <v>218</v>
      </c>
      <c r="N64" s="58">
        <v>80000</v>
      </c>
      <c r="O64" s="58">
        <v>660000</v>
      </c>
      <c r="P64">
        <v>4600</v>
      </c>
      <c r="Q64">
        <v>0</v>
      </c>
      <c r="R64" t="s">
        <v>261</v>
      </c>
      <c r="S64" s="50">
        <v>45658</v>
      </c>
      <c r="T64" s="50">
        <v>46226</v>
      </c>
      <c r="U64" s="50">
        <v>46226</v>
      </c>
      <c r="V64" t="s">
        <v>602</v>
      </c>
      <c r="W64" s="50">
        <v>45869</v>
      </c>
      <c r="Y64" t="s">
        <v>27</v>
      </c>
      <c r="Z64" t="s">
        <v>27</v>
      </c>
      <c r="AA64" t="s">
        <v>27</v>
      </c>
      <c r="AB64" t="s">
        <v>27</v>
      </c>
      <c r="AC64" t="s">
        <v>218</v>
      </c>
      <c r="AD64" s="50">
        <v>45964</v>
      </c>
      <c r="AE64" t="s">
        <v>294</v>
      </c>
      <c r="AF64" t="s">
        <v>615</v>
      </c>
      <c r="AG64" t="s">
        <v>278</v>
      </c>
      <c r="AH64" t="s">
        <v>616</v>
      </c>
    </row>
    <row r="65" spans="1:34" x14ac:dyDescent="0.2">
      <c r="A65" t="s">
        <v>389</v>
      </c>
      <c r="B65" t="s">
        <v>217</v>
      </c>
      <c r="C65" t="s">
        <v>282</v>
      </c>
      <c r="D65" t="s">
        <v>695</v>
      </c>
      <c r="E65" t="s">
        <v>276</v>
      </c>
      <c r="F65" t="s">
        <v>218</v>
      </c>
      <c r="G65" t="s">
        <v>218</v>
      </c>
      <c r="H65" t="s">
        <v>20</v>
      </c>
      <c r="I65" t="s">
        <v>626</v>
      </c>
      <c r="J65" t="s">
        <v>309</v>
      </c>
      <c r="K65" t="s">
        <v>310</v>
      </c>
      <c r="L65" t="s">
        <v>259</v>
      </c>
      <c r="M65" t="s">
        <v>218</v>
      </c>
      <c r="P65">
        <v>256</v>
      </c>
      <c r="Q65">
        <v>0</v>
      </c>
      <c r="R65" t="s">
        <v>261</v>
      </c>
      <c r="S65" s="50">
        <v>45099</v>
      </c>
      <c r="T65" s="50">
        <v>45199</v>
      </c>
      <c r="U65" s="50">
        <v>45199</v>
      </c>
      <c r="V65" t="s">
        <v>282</v>
      </c>
      <c r="Y65" t="s">
        <v>218</v>
      </c>
      <c r="Z65" t="s">
        <v>218</v>
      </c>
      <c r="AA65" t="s">
        <v>218</v>
      </c>
      <c r="AB65" t="s">
        <v>218</v>
      </c>
      <c r="AC65" t="s">
        <v>218</v>
      </c>
      <c r="AD65" s="50">
        <v>45209</v>
      </c>
      <c r="AE65" t="s">
        <v>218</v>
      </c>
      <c r="AF65" t="s">
        <v>390</v>
      </c>
      <c r="AG65" t="s">
        <v>341</v>
      </c>
      <c r="AH65" t="s">
        <v>265</v>
      </c>
    </row>
    <row r="66" spans="1:34" x14ac:dyDescent="0.2">
      <c r="A66" t="s">
        <v>61</v>
      </c>
      <c r="B66" t="s">
        <v>217</v>
      </c>
      <c r="C66" t="s">
        <v>634</v>
      </c>
      <c r="D66" t="s">
        <v>695</v>
      </c>
      <c r="E66" t="s">
        <v>276</v>
      </c>
      <c r="F66" t="s">
        <v>149</v>
      </c>
      <c r="G66" t="s">
        <v>620</v>
      </c>
      <c r="H66" t="s">
        <v>20</v>
      </c>
      <c r="I66" t="s">
        <v>258</v>
      </c>
      <c r="J66" t="s">
        <v>24</v>
      </c>
      <c r="K66" t="s">
        <v>25</v>
      </c>
      <c r="L66" t="s">
        <v>268</v>
      </c>
      <c r="M66" t="s">
        <v>218</v>
      </c>
      <c r="O66" s="58">
        <v>400000</v>
      </c>
      <c r="P66">
        <v>200</v>
      </c>
      <c r="Q66">
        <v>0</v>
      </c>
      <c r="R66" t="s">
        <v>261</v>
      </c>
      <c r="S66" s="50">
        <v>45658</v>
      </c>
      <c r="T66" s="50">
        <v>45809</v>
      </c>
      <c r="U66" s="50">
        <v>45808</v>
      </c>
      <c r="V66" t="s">
        <v>219</v>
      </c>
      <c r="Y66" t="s">
        <v>26</v>
      </c>
      <c r="Z66" t="s">
        <v>26</v>
      </c>
      <c r="AA66" t="s">
        <v>57</v>
      </c>
      <c r="AB66" t="s">
        <v>27</v>
      </c>
      <c r="AC66" t="s">
        <v>218</v>
      </c>
      <c r="AD66" s="50">
        <v>45870</v>
      </c>
      <c r="AE66" t="s">
        <v>294</v>
      </c>
      <c r="AF66" t="s">
        <v>391</v>
      </c>
      <c r="AG66" t="s">
        <v>278</v>
      </c>
      <c r="AH66" t="s">
        <v>392</v>
      </c>
    </row>
    <row r="67" spans="1:34" x14ac:dyDescent="0.2">
      <c r="A67" t="s">
        <v>190</v>
      </c>
      <c r="B67" t="s">
        <v>217</v>
      </c>
      <c r="C67" t="s">
        <v>256</v>
      </c>
      <c r="D67" t="s">
        <v>256</v>
      </c>
      <c r="E67" t="s">
        <v>257</v>
      </c>
      <c r="F67" t="s">
        <v>155</v>
      </c>
      <c r="G67" t="s">
        <v>614</v>
      </c>
      <c r="H67" t="s">
        <v>20</v>
      </c>
      <c r="I67" t="s">
        <v>320</v>
      </c>
      <c r="J67" t="s">
        <v>177</v>
      </c>
      <c r="K67" t="s">
        <v>119</v>
      </c>
      <c r="L67" t="s">
        <v>259</v>
      </c>
      <c r="M67" t="s">
        <v>218</v>
      </c>
      <c r="N67" s="58">
        <v>25000</v>
      </c>
      <c r="O67" s="58">
        <v>36690</v>
      </c>
      <c r="P67">
        <v>281</v>
      </c>
      <c r="Q67">
        <v>0</v>
      </c>
      <c r="R67" t="s">
        <v>323</v>
      </c>
      <c r="S67" s="50">
        <v>45930</v>
      </c>
      <c r="T67" s="50">
        <v>46294</v>
      </c>
      <c r="U67" s="50">
        <v>46294</v>
      </c>
      <c r="V67" t="s">
        <v>219</v>
      </c>
      <c r="Y67" t="s">
        <v>27</v>
      </c>
      <c r="Z67" t="s">
        <v>27</v>
      </c>
      <c r="AA67" t="s">
        <v>26</v>
      </c>
      <c r="AB67" t="s">
        <v>27</v>
      </c>
      <c r="AC67" t="s">
        <v>218</v>
      </c>
      <c r="AD67" s="50">
        <v>45999</v>
      </c>
      <c r="AE67" t="s">
        <v>274</v>
      </c>
      <c r="AF67" t="s">
        <v>647</v>
      </c>
      <c r="AG67" t="s">
        <v>278</v>
      </c>
      <c r="AH67" t="s">
        <v>279</v>
      </c>
    </row>
    <row r="68" spans="1:34" x14ac:dyDescent="0.2">
      <c r="A68" t="s">
        <v>393</v>
      </c>
      <c r="B68" t="s">
        <v>217</v>
      </c>
      <c r="C68" t="s">
        <v>282</v>
      </c>
      <c r="D68" t="s">
        <v>695</v>
      </c>
      <c r="E68" t="s">
        <v>276</v>
      </c>
      <c r="F68" t="s">
        <v>218</v>
      </c>
      <c r="G68" t="s">
        <v>218</v>
      </c>
      <c r="H68" t="s">
        <v>20</v>
      </c>
      <c r="I68" t="s">
        <v>626</v>
      </c>
      <c r="J68" t="s">
        <v>218</v>
      </c>
      <c r="K68" t="s">
        <v>218</v>
      </c>
      <c r="L68" t="s">
        <v>259</v>
      </c>
      <c r="M68" t="s">
        <v>218</v>
      </c>
      <c r="P68">
        <v>0</v>
      </c>
      <c r="Q68">
        <v>0</v>
      </c>
      <c r="R68" t="s">
        <v>261</v>
      </c>
      <c r="S68" s="50">
        <v>44958</v>
      </c>
      <c r="T68" s="50">
        <v>45122</v>
      </c>
      <c r="U68" s="50">
        <v>45122</v>
      </c>
      <c r="V68" t="s">
        <v>282</v>
      </c>
      <c r="Y68" t="s">
        <v>218</v>
      </c>
      <c r="Z68" t="s">
        <v>218</v>
      </c>
      <c r="AA68" t="s">
        <v>218</v>
      </c>
      <c r="AB68" t="s">
        <v>218</v>
      </c>
      <c r="AC68" t="s">
        <v>218</v>
      </c>
      <c r="AE68" t="s">
        <v>218</v>
      </c>
      <c r="AF68" t="s">
        <v>394</v>
      </c>
      <c r="AG68" t="s">
        <v>278</v>
      </c>
      <c r="AH68" t="s">
        <v>279</v>
      </c>
    </row>
    <row r="69" spans="1:34" x14ac:dyDescent="0.2">
      <c r="A69" t="s">
        <v>191</v>
      </c>
      <c r="B69" t="s">
        <v>221</v>
      </c>
      <c r="C69" t="s">
        <v>256</v>
      </c>
      <c r="D69" t="s">
        <v>256</v>
      </c>
      <c r="E69" t="s">
        <v>276</v>
      </c>
      <c r="F69" t="s">
        <v>149</v>
      </c>
      <c r="G69" t="s">
        <v>218</v>
      </c>
      <c r="H69" t="s">
        <v>85</v>
      </c>
      <c r="I69" t="s">
        <v>617</v>
      </c>
      <c r="J69" t="s">
        <v>53</v>
      </c>
      <c r="K69" t="s">
        <v>116</v>
      </c>
      <c r="L69" t="s">
        <v>268</v>
      </c>
      <c r="M69" t="s">
        <v>218</v>
      </c>
      <c r="N69" s="58">
        <v>0</v>
      </c>
      <c r="O69" s="58">
        <v>450000</v>
      </c>
      <c r="P69">
        <v>0</v>
      </c>
      <c r="Q69">
        <v>0</v>
      </c>
      <c r="R69" t="s">
        <v>261</v>
      </c>
      <c r="S69" s="50">
        <v>46048</v>
      </c>
      <c r="T69" s="50">
        <v>46171</v>
      </c>
      <c r="U69" s="50">
        <v>46171</v>
      </c>
      <c r="V69" t="s">
        <v>219</v>
      </c>
      <c r="Y69" t="s">
        <v>218</v>
      </c>
      <c r="Z69" t="s">
        <v>218</v>
      </c>
      <c r="AA69" t="s">
        <v>218</v>
      </c>
      <c r="AB69" t="s">
        <v>218</v>
      </c>
      <c r="AC69" t="s">
        <v>218</v>
      </c>
      <c r="AE69" t="s">
        <v>262</v>
      </c>
      <c r="AF69" t="s">
        <v>395</v>
      </c>
      <c r="AG69" t="s">
        <v>396</v>
      </c>
      <c r="AH69" t="s">
        <v>265</v>
      </c>
    </row>
    <row r="70" spans="1:34" x14ac:dyDescent="0.2">
      <c r="A70" t="s">
        <v>191</v>
      </c>
      <c r="B70" t="s">
        <v>266</v>
      </c>
      <c r="C70" t="s">
        <v>256</v>
      </c>
      <c r="D70" t="s">
        <v>256</v>
      </c>
      <c r="E70" t="s">
        <v>267</v>
      </c>
      <c r="F70" t="s">
        <v>144</v>
      </c>
      <c r="G70" t="s">
        <v>218</v>
      </c>
      <c r="H70" t="s">
        <v>85</v>
      </c>
      <c r="I70" t="s">
        <v>617</v>
      </c>
      <c r="J70" t="s">
        <v>53</v>
      </c>
      <c r="K70" t="s">
        <v>116</v>
      </c>
      <c r="L70" t="s">
        <v>268</v>
      </c>
      <c r="M70" t="s">
        <v>218</v>
      </c>
      <c r="N70" s="58">
        <v>861234</v>
      </c>
      <c r="O70" s="58">
        <v>190000</v>
      </c>
      <c r="P70">
        <v>0</v>
      </c>
      <c r="Q70">
        <v>0</v>
      </c>
      <c r="R70" t="s">
        <v>261</v>
      </c>
      <c r="S70" s="50">
        <v>46014</v>
      </c>
      <c r="T70" s="50">
        <v>47118</v>
      </c>
      <c r="U70" s="50">
        <v>47057</v>
      </c>
      <c r="V70" t="s">
        <v>219</v>
      </c>
      <c r="Y70" t="s">
        <v>218</v>
      </c>
      <c r="Z70" t="s">
        <v>218</v>
      </c>
      <c r="AA70" t="s">
        <v>218</v>
      </c>
      <c r="AB70" t="s">
        <v>218</v>
      </c>
      <c r="AC70" t="s">
        <v>218</v>
      </c>
      <c r="AE70" t="s">
        <v>262</v>
      </c>
      <c r="AF70" t="s">
        <v>395</v>
      </c>
      <c r="AG70" t="s">
        <v>396</v>
      </c>
      <c r="AH70" t="s">
        <v>265</v>
      </c>
    </row>
    <row r="71" spans="1:34" x14ac:dyDescent="0.2">
      <c r="A71" t="s">
        <v>191</v>
      </c>
      <c r="B71" t="s">
        <v>217</v>
      </c>
      <c r="C71" t="s">
        <v>256</v>
      </c>
      <c r="D71" t="s">
        <v>256</v>
      </c>
      <c r="E71" t="s">
        <v>267</v>
      </c>
      <c r="F71" t="s">
        <v>144</v>
      </c>
      <c r="G71" t="s">
        <v>702</v>
      </c>
      <c r="H71" t="s">
        <v>32</v>
      </c>
      <c r="I71" t="s">
        <v>617</v>
      </c>
      <c r="J71" t="s">
        <v>53</v>
      </c>
      <c r="K71" t="s">
        <v>118</v>
      </c>
      <c r="L71" t="s">
        <v>268</v>
      </c>
      <c r="M71" t="s">
        <v>273</v>
      </c>
      <c r="N71" s="58">
        <v>3878266</v>
      </c>
      <c r="O71" s="58">
        <v>313092</v>
      </c>
      <c r="P71">
        <v>92593</v>
      </c>
      <c r="Q71">
        <v>0</v>
      </c>
      <c r="R71" t="s">
        <v>261</v>
      </c>
      <c r="S71" s="50">
        <v>43891</v>
      </c>
      <c r="T71" s="50">
        <v>47483</v>
      </c>
      <c r="U71" s="50">
        <v>47483</v>
      </c>
      <c r="V71" t="s">
        <v>219</v>
      </c>
      <c r="Y71" t="s">
        <v>26</v>
      </c>
      <c r="Z71" t="s">
        <v>26</v>
      </c>
      <c r="AA71" t="s">
        <v>27</v>
      </c>
      <c r="AB71" t="s">
        <v>27</v>
      </c>
      <c r="AC71" t="s">
        <v>618</v>
      </c>
      <c r="AD71" s="50">
        <v>46003</v>
      </c>
      <c r="AE71" t="s">
        <v>294</v>
      </c>
      <c r="AF71" t="s">
        <v>395</v>
      </c>
      <c r="AG71" t="s">
        <v>396</v>
      </c>
      <c r="AH71" t="s">
        <v>265</v>
      </c>
    </row>
    <row r="72" spans="1:34" x14ac:dyDescent="0.2">
      <c r="A72" t="s">
        <v>192</v>
      </c>
      <c r="B72" t="s">
        <v>217</v>
      </c>
      <c r="C72" t="s">
        <v>256</v>
      </c>
      <c r="D72" t="s">
        <v>256</v>
      </c>
      <c r="E72" t="s">
        <v>267</v>
      </c>
      <c r="F72" t="s">
        <v>155</v>
      </c>
      <c r="G72" t="s">
        <v>614</v>
      </c>
      <c r="H72" t="s">
        <v>20</v>
      </c>
      <c r="I72" t="s">
        <v>626</v>
      </c>
      <c r="J72" t="s">
        <v>177</v>
      </c>
      <c r="K72" t="s">
        <v>25</v>
      </c>
      <c r="L72" t="s">
        <v>259</v>
      </c>
      <c r="M72" t="s">
        <v>316</v>
      </c>
      <c r="N72" s="58">
        <v>37500</v>
      </c>
      <c r="P72">
        <v>565</v>
      </c>
      <c r="Q72">
        <v>0</v>
      </c>
      <c r="R72" t="s">
        <v>261</v>
      </c>
      <c r="S72" s="50">
        <v>45473</v>
      </c>
      <c r="T72" s="50">
        <v>46202</v>
      </c>
      <c r="U72" s="50">
        <v>46202</v>
      </c>
      <c r="V72" t="s">
        <v>602</v>
      </c>
      <c r="W72" s="50">
        <v>45834</v>
      </c>
      <c r="Y72" t="s">
        <v>27</v>
      </c>
      <c r="Z72" t="s">
        <v>57</v>
      </c>
      <c r="AA72" t="s">
        <v>607</v>
      </c>
      <c r="AB72" t="s">
        <v>57</v>
      </c>
      <c r="AC72" t="s">
        <v>218</v>
      </c>
      <c r="AD72" s="50">
        <v>45904</v>
      </c>
      <c r="AE72" t="s">
        <v>274</v>
      </c>
      <c r="AF72" t="s">
        <v>397</v>
      </c>
      <c r="AG72" t="s">
        <v>278</v>
      </c>
      <c r="AH72" t="s">
        <v>279</v>
      </c>
    </row>
    <row r="73" spans="1:34" x14ac:dyDescent="0.2">
      <c r="A73" t="s">
        <v>63</v>
      </c>
      <c r="B73" t="s">
        <v>266</v>
      </c>
      <c r="C73" t="s">
        <v>256</v>
      </c>
      <c r="D73" t="s">
        <v>256</v>
      </c>
      <c r="E73" t="s">
        <v>267</v>
      </c>
      <c r="F73" t="s">
        <v>161</v>
      </c>
      <c r="G73" t="s">
        <v>218</v>
      </c>
      <c r="H73" t="s">
        <v>85</v>
      </c>
      <c r="I73" t="s">
        <v>626</v>
      </c>
      <c r="J73" t="s">
        <v>44</v>
      </c>
      <c r="K73" t="s">
        <v>118</v>
      </c>
      <c r="L73" t="s">
        <v>259</v>
      </c>
      <c r="M73" t="s">
        <v>218</v>
      </c>
      <c r="N73" s="58">
        <v>33535</v>
      </c>
      <c r="O73" s="58">
        <v>10061</v>
      </c>
      <c r="P73">
        <v>0</v>
      </c>
      <c r="Q73">
        <v>0</v>
      </c>
      <c r="R73" t="s">
        <v>323</v>
      </c>
      <c r="S73" s="50">
        <v>45553</v>
      </c>
      <c r="T73" s="50">
        <v>47378</v>
      </c>
      <c r="U73" s="50">
        <v>47378</v>
      </c>
      <c r="V73" t="s">
        <v>218</v>
      </c>
      <c r="Y73" t="s">
        <v>218</v>
      </c>
      <c r="Z73" t="s">
        <v>218</v>
      </c>
      <c r="AA73" t="s">
        <v>218</v>
      </c>
      <c r="AB73" t="s">
        <v>218</v>
      </c>
      <c r="AC73" t="s">
        <v>218</v>
      </c>
      <c r="AE73" t="s">
        <v>294</v>
      </c>
      <c r="AF73" t="s">
        <v>398</v>
      </c>
      <c r="AG73" t="s">
        <v>345</v>
      </c>
      <c r="AH73" t="s">
        <v>265</v>
      </c>
    </row>
    <row r="74" spans="1:34" x14ac:dyDescent="0.2">
      <c r="A74" t="s">
        <v>63</v>
      </c>
      <c r="B74" t="s">
        <v>217</v>
      </c>
      <c r="C74" t="s">
        <v>256</v>
      </c>
      <c r="D74" t="s">
        <v>256</v>
      </c>
      <c r="E74" t="s">
        <v>267</v>
      </c>
      <c r="F74" t="s">
        <v>155</v>
      </c>
      <c r="G74" t="s">
        <v>349</v>
      </c>
      <c r="H74" t="s">
        <v>23</v>
      </c>
      <c r="I74" t="s">
        <v>626</v>
      </c>
      <c r="J74" t="s">
        <v>44</v>
      </c>
      <c r="K74" t="s">
        <v>118</v>
      </c>
      <c r="L74" t="s">
        <v>259</v>
      </c>
      <c r="M74" t="s">
        <v>292</v>
      </c>
      <c r="N74" s="58">
        <v>153480</v>
      </c>
      <c r="O74" s="58">
        <v>46044</v>
      </c>
      <c r="P74">
        <v>2816</v>
      </c>
      <c r="Q74">
        <v>304</v>
      </c>
      <c r="R74" t="s">
        <v>323</v>
      </c>
      <c r="S74" s="50">
        <v>45553</v>
      </c>
      <c r="T74" s="50">
        <v>47378</v>
      </c>
      <c r="U74" s="50">
        <v>47378</v>
      </c>
      <c r="V74" t="s">
        <v>218</v>
      </c>
      <c r="Y74" t="s">
        <v>26</v>
      </c>
      <c r="Z74" t="s">
        <v>27</v>
      </c>
      <c r="AA74" t="s">
        <v>607</v>
      </c>
      <c r="AB74" t="s">
        <v>27</v>
      </c>
      <c r="AC74" t="s">
        <v>86</v>
      </c>
      <c r="AD74" s="50">
        <v>46001</v>
      </c>
      <c r="AE74" t="s">
        <v>274</v>
      </c>
      <c r="AF74" t="s">
        <v>398</v>
      </c>
      <c r="AG74" t="s">
        <v>345</v>
      </c>
      <c r="AH74" t="s">
        <v>265</v>
      </c>
    </row>
    <row r="75" spans="1:34" x14ac:dyDescent="0.2">
      <c r="A75" t="s">
        <v>399</v>
      </c>
      <c r="B75" t="s">
        <v>217</v>
      </c>
      <c r="C75" t="s">
        <v>282</v>
      </c>
      <c r="D75" t="s">
        <v>695</v>
      </c>
      <c r="E75" t="s">
        <v>276</v>
      </c>
      <c r="F75" t="s">
        <v>218</v>
      </c>
      <c r="G75" t="s">
        <v>218</v>
      </c>
      <c r="H75" t="s">
        <v>20</v>
      </c>
      <c r="I75" t="s">
        <v>611</v>
      </c>
      <c r="J75" t="s">
        <v>218</v>
      </c>
      <c r="K75" t="s">
        <v>218</v>
      </c>
      <c r="L75" t="s">
        <v>268</v>
      </c>
      <c r="M75" t="s">
        <v>218</v>
      </c>
      <c r="P75">
        <v>0</v>
      </c>
      <c r="Q75">
        <v>0</v>
      </c>
      <c r="R75" t="s">
        <v>261</v>
      </c>
      <c r="S75" s="50">
        <v>44409</v>
      </c>
      <c r="T75" s="50">
        <v>44484</v>
      </c>
      <c r="U75" s="50">
        <v>44484</v>
      </c>
      <c r="V75" t="s">
        <v>282</v>
      </c>
      <c r="Y75" t="s">
        <v>218</v>
      </c>
      <c r="Z75" t="s">
        <v>218</v>
      </c>
      <c r="AA75" t="s">
        <v>218</v>
      </c>
      <c r="AB75" t="s">
        <v>218</v>
      </c>
      <c r="AC75" t="s">
        <v>218</v>
      </c>
      <c r="AE75" t="s">
        <v>218</v>
      </c>
      <c r="AF75" t="s">
        <v>400</v>
      </c>
      <c r="AG75" t="s">
        <v>278</v>
      </c>
      <c r="AH75" t="s">
        <v>388</v>
      </c>
    </row>
    <row r="76" spans="1:34" x14ac:dyDescent="0.2">
      <c r="A76" t="s">
        <v>671</v>
      </c>
      <c r="B76" t="s">
        <v>217</v>
      </c>
      <c r="C76" t="s">
        <v>256</v>
      </c>
      <c r="D76" t="s">
        <v>256</v>
      </c>
      <c r="E76" t="s">
        <v>257</v>
      </c>
      <c r="F76" t="s">
        <v>144</v>
      </c>
      <c r="G76" t="s">
        <v>218</v>
      </c>
      <c r="H76" t="s">
        <v>20</v>
      </c>
      <c r="I76" t="s">
        <v>258</v>
      </c>
      <c r="J76" t="s">
        <v>69</v>
      </c>
      <c r="K76" t="s">
        <v>699</v>
      </c>
      <c r="L76" t="s">
        <v>268</v>
      </c>
      <c r="M76" t="s">
        <v>292</v>
      </c>
      <c r="N76" s="58">
        <v>219331</v>
      </c>
      <c r="O76" s="58">
        <v>600000</v>
      </c>
      <c r="P76">
        <v>1970</v>
      </c>
      <c r="Q76">
        <v>250</v>
      </c>
      <c r="R76" t="s">
        <v>261</v>
      </c>
      <c r="S76" s="50">
        <v>46097</v>
      </c>
      <c r="T76" s="50">
        <v>46461</v>
      </c>
      <c r="U76" s="50">
        <v>46461</v>
      </c>
      <c r="V76" t="s">
        <v>219</v>
      </c>
      <c r="Y76" t="s">
        <v>218</v>
      </c>
      <c r="Z76" t="s">
        <v>218</v>
      </c>
      <c r="AA76" t="s">
        <v>218</v>
      </c>
      <c r="AB76" t="s">
        <v>218</v>
      </c>
      <c r="AC76" t="s">
        <v>218</v>
      </c>
      <c r="AE76" t="s">
        <v>262</v>
      </c>
      <c r="AF76" t="s">
        <v>672</v>
      </c>
      <c r="AG76" t="s">
        <v>278</v>
      </c>
      <c r="AH76" t="s">
        <v>672</v>
      </c>
    </row>
    <row r="77" spans="1:34" x14ac:dyDescent="0.2">
      <c r="A77" t="s">
        <v>401</v>
      </c>
      <c r="B77" t="s">
        <v>217</v>
      </c>
      <c r="C77" t="s">
        <v>282</v>
      </c>
      <c r="D77" t="s">
        <v>695</v>
      </c>
      <c r="E77" t="s">
        <v>257</v>
      </c>
      <c r="F77" t="s">
        <v>149</v>
      </c>
      <c r="G77" t="s">
        <v>349</v>
      </c>
      <c r="H77" t="s">
        <v>20</v>
      </c>
      <c r="I77" t="s">
        <v>617</v>
      </c>
      <c r="J77" t="s">
        <v>218</v>
      </c>
      <c r="K77" t="s">
        <v>218</v>
      </c>
      <c r="L77" t="s">
        <v>268</v>
      </c>
      <c r="M77" t="s">
        <v>218</v>
      </c>
      <c r="P77">
        <v>0</v>
      </c>
      <c r="Q77">
        <v>250</v>
      </c>
      <c r="R77" t="s">
        <v>261</v>
      </c>
      <c r="S77" s="50">
        <v>45443</v>
      </c>
      <c r="T77" s="50">
        <v>45808</v>
      </c>
      <c r="U77" s="50">
        <v>45808</v>
      </c>
      <c r="V77" t="s">
        <v>282</v>
      </c>
      <c r="Y77" t="s">
        <v>27</v>
      </c>
      <c r="Z77" t="s">
        <v>27</v>
      </c>
      <c r="AA77" t="s">
        <v>27</v>
      </c>
      <c r="AB77" t="s">
        <v>27</v>
      </c>
      <c r="AC77" t="s">
        <v>218</v>
      </c>
      <c r="AD77" s="50">
        <v>45625</v>
      </c>
      <c r="AE77" t="s">
        <v>307</v>
      </c>
      <c r="AF77" t="s">
        <v>403</v>
      </c>
      <c r="AG77" t="s">
        <v>284</v>
      </c>
      <c r="AH77" t="s">
        <v>265</v>
      </c>
    </row>
    <row r="78" spans="1:34" x14ac:dyDescent="0.2">
      <c r="A78" t="s">
        <v>404</v>
      </c>
      <c r="B78" t="s">
        <v>217</v>
      </c>
      <c r="C78" t="s">
        <v>282</v>
      </c>
      <c r="D78" t="s">
        <v>695</v>
      </c>
      <c r="E78" t="s">
        <v>276</v>
      </c>
      <c r="F78" t="s">
        <v>218</v>
      </c>
      <c r="G78" t="s">
        <v>218</v>
      </c>
      <c r="H78" t="s">
        <v>20</v>
      </c>
      <c r="I78" t="s">
        <v>402</v>
      </c>
      <c r="J78" t="s">
        <v>218</v>
      </c>
      <c r="K78" t="s">
        <v>218</v>
      </c>
      <c r="L78" t="s">
        <v>268</v>
      </c>
      <c r="M78" t="s">
        <v>218</v>
      </c>
      <c r="P78">
        <v>0</v>
      </c>
      <c r="Q78">
        <v>0</v>
      </c>
      <c r="R78" t="s">
        <v>261</v>
      </c>
      <c r="S78" s="50">
        <v>44593</v>
      </c>
      <c r="T78" s="50">
        <v>44926</v>
      </c>
      <c r="U78" s="50">
        <v>44926</v>
      </c>
      <c r="V78" t="s">
        <v>282</v>
      </c>
      <c r="Y78" t="s">
        <v>218</v>
      </c>
      <c r="Z78" t="s">
        <v>218</v>
      </c>
      <c r="AA78" t="s">
        <v>218</v>
      </c>
      <c r="AB78" t="s">
        <v>218</v>
      </c>
      <c r="AC78" t="s">
        <v>218</v>
      </c>
      <c r="AE78" t="s">
        <v>218</v>
      </c>
      <c r="AF78" t="s">
        <v>405</v>
      </c>
      <c r="AG78" t="s">
        <v>406</v>
      </c>
      <c r="AH78" t="s">
        <v>265</v>
      </c>
    </row>
    <row r="79" spans="1:34" x14ac:dyDescent="0.2">
      <c r="A79" t="s">
        <v>407</v>
      </c>
      <c r="B79" t="s">
        <v>281</v>
      </c>
      <c r="C79" t="s">
        <v>282</v>
      </c>
      <c r="D79" t="s">
        <v>695</v>
      </c>
      <c r="E79" t="s">
        <v>276</v>
      </c>
      <c r="F79" t="s">
        <v>218</v>
      </c>
      <c r="G79" t="s">
        <v>218</v>
      </c>
      <c r="H79" t="s">
        <v>85</v>
      </c>
      <c r="I79" t="s">
        <v>670</v>
      </c>
      <c r="J79" t="s">
        <v>218</v>
      </c>
      <c r="K79" t="s">
        <v>218</v>
      </c>
      <c r="L79" t="s">
        <v>268</v>
      </c>
      <c r="M79" t="s">
        <v>218</v>
      </c>
      <c r="P79">
        <v>0</v>
      </c>
      <c r="Q79">
        <v>0</v>
      </c>
      <c r="R79" t="s">
        <v>261</v>
      </c>
      <c r="S79" s="50">
        <v>44743</v>
      </c>
      <c r="T79" s="50">
        <v>44926</v>
      </c>
      <c r="U79" s="50">
        <v>44926</v>
      </c>
      <c r="V79" t="s">
        <v>282</v>
      </c>
      <c r="Y79" t="s">
        <v>218</v>
      </c>
      <c r="Z79" t="s">
        <v>218</v>
      </c>
      <c r="AA79" t="s">
        <v>218</v>
      </c>
      <c r="AB79" t="s">
        <v>218</v>
      </c>
      <c r="AC79" t="s">
        <v>218</v>
      </c>
      <c r="AE79" t="s">
        <v>218</v>
      </c>
      <c r="AF79" t="s">
        <v>408</v>
      </c>
      <c r="AG79" t="s">
        <v>278</v>
      </c>
      <c r="AH79" t="s">
        <v>409</v>
      </c>
    </row>
    <row r="80" spans="1:34" x14ac:dyDescent="0.2">
      <c r="A80" t="s">
        <v>193</v>
      </c>
      <c r="B80" t="s">
        <v>217</v>
      </c>
      <c r="C80" t="s">
        <v>256</v>
      </c>
      <c r="D80" t="s">
        <v>256</v>
      </c>
      <c r="E80" t="s">
        <v>267</v>
      </c>
      <c r="F80" t="s">
        <v>155</v>
      </c>
      <c r="G80" t="s">
        <v>697</v>
      </c>
      <c r="H80" t="s">
        <v>20</v>
      </c>
      <c r="I80" t="s">
        <v>637</v>
      </c>
      <c r="J80" t="s">
        <v>44</v>
      </c>
      <c r="K80" t="s">
        <v>118</v>
      </c>
      <c r="L80" t="s">
        <v>259</v>
      </c>
      <c r="M80" t="s">
        <v>316</v>
      </c>
      <c r="N80" s="58">
        <v>79006</v>
      </c>
      <c r="O80" s="58">
        <v>23702</v>
      </c>
      <c r="P80">
        <v>1773</v>
      </c>
      <c r="Q80">
        <v>0</v>
      </c>
      <c r="R80" t="s">
        <v>305</v>
      </c>
      <c r="S80" s="50">
        <v>45930</v>
      </c>
      <c r="T80" s="50">
        <v>46387</v>
      </c>
      <c r="U80" s="50">
        <v>46387</v>
      </c>
      <c r="V80" t="s">
        <v>219</v>
      </c>
      <c r="Y80" t="s">
        <v>26</v>
      </c>
      <c r="Z80" t="s">
        <v>26</v>
      </c>
      <c r="AA80" t="s">
        <v>57</v>
      </c>
      <c r="AB80" t="s">
        <v>27</v>
      </c>
      <c r="AC80" t="s">
        <v>218</v>
      </c>
      <c r="AE80" t="s">
        <v>294</v>
      </c>
      <c r="AF80" t="s">
        <v>648</v>
      </c>
      <c r="AG80" t="s">
        <v>328</v>
      </c>
      <c r="AH80" t="s">
        <v>265</v>
      </c>
    </row>
    <row r="81" spans="1:34" x14ac:dyDescent="0.2">
      <c r="A81" t="s">
        <v>410</v>
      </c>
      <c r="B81" t="s">
        <v>217</v>
      </c>
      <c r="C81" t="s">
        <v>634</v>
      </c>
      <c r="D81" t="s">
        <v>695</v>
      </c>
      <c r="E81" t="s">
        <v>276</v>
      </c>
      <c r="F81" t="s">
        <v>218</v>
      </c>
      <c r="G81" t="s">
        <v>218</v>
      </c>
      <c r="H81" t="s">
        <v>20</v>
      </c>
      <c r="I81" t="s">
        <v>637</v>
      </c>
      <c r="J81" t="s">
        <v>653</v>
      </c>
      <c r="K81" t="s">
        <v>207</v>
      </c>
      <c r="L81" t="s">
        <v>259</v>
      </c>
      <c r="M81" t="s">
        <v>218</v>
      </c>
      <c r="O81" s="58">
        <v>10000</v>
      </c>
      <c r="P81">
        <v>250</v>
      </c>
      <c r="Q81">
        <v>0</v>
      </c>
      <c r="R81" t="s">
        <v>261</v>
      </c>
      <c r="S81" s="50">
        <v>45104</v>
      </c>
      <c r="T81" s="50">
        <v>45199</v>
      </c>
      <c r="U81" s="50">
        <v>45199</v>
      </c>
      <c r="V81" t="s">
        <v>219</v>
      </c>
      <c r="Y81" t="s">
        <v>218</v>
      </c>
      <c r="Z81" t="s">
        <v>218</v>
      </c>
      <c r="AA81" t="s">
        <v>218</v>
      </c>
      <c r="AB81" t="s">
        <v>218</v>
      </c>
      <c r="AC81" t="s">
        <v>218</v>
      </c>
      <c r="AD81" s="50">
        <v>45205</v>
      </c>
      <c r="AE81" t="s">
        <v>218</v>
      </c>
      <c r="AF81" t="s">
        <v>411</v>
      </c>
      <c r="AG81" t="s">
        <v>328</v>
      </c>
      <c r="AH81" t="s">
        <v>265</v>
      </c>
    </row>
    <row r="82" spans="1:34" x14ac:dyDescent="0.2">
      <c r="A82" t="s">
        <v>64</v>
      </c>
      <c r="B82" t="s">
        <v>217</v>
      </c>
      <c r="C82" t="s">
        <v>256</v>
      </c>
      <c r="D82" t="s">
        <v>256</v>
      </c>
      <c r="E82" t="s">
        <v>267</v>
      </c>
      <c r="F82" t="s">
        <v>155</v>
      </c>
      <c r="G82" t="s">
        <v>693</v>
      </c>
      <c r="H82" t="s">
        <v>23</v>
      </c>
      <c r="I82" t="s">
        <v>637</v>
      </c>
      <c r="J82" t="s">
        <v>179</v>
      </c>
      <c r="K82" t="s">
        <v>222</v>
      </c>
      <c r="L82" t="s">
        <v>259</v>
      </c>
      <c r="M82" t="s">
        <v>218</v>
      </c>
      <c r="N82" s="58">
        <v>195000</v>
      </c>
      <c r="O82" s="58">
        <v>58500</v>
      </c>
      <c r="P82">
        <v>3160</v>
      </c>
      <c r="Q82">
        <v>0</v>
      </c>
      <c r="R82" t="s">
        <v>261</v>
      </c>
      <c r="S82" s="50">
        <v>45630</v>
      </c>
      <c r="T82" s="50">
        <v>47820</v>
      </c>
      <c r="U82" s="50">
        <v>47820</v>
      </c>
      <c r="V82" t="s">
        <v>602</v>
      </c>
      <c r="W82" s="50">
        <v>45995</v>
      </c>
      <c r="Y82" t="s">
        <v>27</v>
      </c>
      <c r="Z82" t="s">
        <v>27</v>
      </c>
      <c r="AA82" t="s">
        <v>57</v>
      </c>
      <c r="AB82" t="s">
        <v>27</v>
      </c>
      <c r="AC82" t="s">
        <v>218</v>
      </c>
      <c r="AD82" s="50">
        <v>45790</v>
      </c>
      <c r="AE82" t="s">
        <v>274</v>
      </c>
      <c r="AF82" t="s">
        <v>412</v>
      </c>
      <c r="AG82" t="s">
        <v>328</v>
      </c>
      <c r="AH82" t="s">
        <v>265</v>
      </c>
    </row>
    <row r="83" spans="1:34" x14ac:dyDescent="0.2">
      <c r="A83" t="s">
        <v>413</v>
      </c>
      <c r="B83" t="s">
        <v>217</v>
      </c>
      <c r="C83" t="s">
        <v>634</v>
      </c>
      <c r="D83" t="s">
        <v>695</v>
      </c>
      <c r="E83" t="s">
        <v>276</v>
      </c>
      <c r="F83" t="s">
        <v>218</v>
      </c>
      <c r="G83" t="s">
        <v>218</v>
      </c>
      <c r="H83" t="s">
        <v>20</v>
      </c>
      <c r="I83" t="s">
        <v>402</v>
      </c>
      <c r="J83" t="s">
        <v>218</v>
      </c>
      <c r="K83" t="s">
        <v>218</v>
      </c>
      <c r="L83" t="s">
        <v>268</v>
      </c>
      <c r="M83" t="s">
        <v>218</v>
      </c>
      <c r="O83" s="58">
        <v>750000</v>
      </c>
      <c r="P83">
        <v>0</v>
      </c>
      <c r="Q83">
        <v>0</v>
      </c>
      <c r="R83" t="s">
        <v>261</v>
      </c>
      <c r="S83" s="50">
        <v>44986</v>
      </c>
      <c r="T83" s="50">
        <v>45122</v>
      </c>
      <c r="U83" s="50">
        <v>45122</v>
      </c>
      <c r="V83" t="s">
        <v>219</v>
      </c>
      <c r="Y83" t="s">
        <v>218</v>
      </c>
      <c r="Z83" t="s">
        <v>218</v>
      </c>
      <c r="AA83" t="s">
        <v>218</v>
      </c>
      <c r="AB83" t="s">
        <v>218</v>
      </c>
      <c r="AC83" t="s">
        <v>218</v>
      </c>
      <c r="AE83" t="s">
        <v>218</v>
      </c>
      <c r="AF83" t="s">
        <v>414</v>
      </c>
      <c r="AG83" t="s">
        <v>415</v>
      </c>
      <c r="AH83" t="s">
        <v>265</v>
      </c>
    </row>
    <row r="84" spans="1:34" x14ac:dyDescent="0.2">
      <c r="A84" t="s">
        <v>416</v>
      </c>
      <c r="B84" t="s">
        <v>217</v>
      </c>
      <c r="C84" t="s">
        <v>302</v>
      </c>
      <c r="D84" t="s">
        <v>695</v>
      </c>
      <c r="E84" t="s">
        <v>267</v>
      </c>
      <c r="F84" t="s">
        <v>218</v>
      </c>
      <c r="G84" t="s">
        <v>218</v>
      </c>
      <c r="H84" t="s">
        <v>32</v>
      </c>
      <c r="I84" t="s">
        <v>320</v>
      </c>
      <c r="J84" t="s">
        <v>655</v>
      </c>
      <c r="K84" t="s">
        <v>117</v>
      </c>
      <c r="L84" t="s">
        <v>259</v>
      </c>
      <c r="M84" t="s">
        <v>316</v>
      </c>
      <c r="P84">
        <v>339</v>
      </c>
      <c r="Q84">
        <v>0</v>
      </c>
      <c r="R84" t="s">
        <v>323</v>
      </c>
      <c r="S84" s="50">
        <v>44470</v>
      </c>
      <c r="T84" s="50">
        <v>45322</v>
      </c>
      <c r="U84" s="50">
        <v>46387</v>
      </c>
      <c r="V84" t="s">
        <v>602</v>
      </c>
      <c r="W84" s="50">
        <v>44683</v>
      </c>
      <c r="X84" s="50">
        <v>45322</v>
      </c>
      <c r="Y84" t="s">
        <v>218</v>
      </c>
      <c r="Z84" t="s">
        <v>218</v>
      </c>
      <c r="AA84" t="s">
        <v>218</v>
      </c>
      <c r="AB84" t="s">
        <v>218</v>
      </c>
      <c r="AC84" t="s">
        <v>218</v>
      </c>
      <c r="AD84" s="50">
        <v>45176</v>
      </c>
      <c r="AE84" t="s">
        <v>274</v>
      </c>
      <c r="AF84" t="s">
        <v>417</v>
      </c>
      <c r="AG84" t="s">
        <v>347</v>
      </c>
      <c r="AH84" t="s">
        <v>265</v>
      </c>
    </row>
    <row r="85" spans="1:34" x14ac:dyDescent="0.2">
      <c r="A85" t="s">
        <v>194</v>
      </c>
      <c r="B85" t="s">
        <v>217</v>
      </c>
      <c r="C85" t="s">
        <v>256</v>
      </c>
      <c r="D85" t="s">
        <v>256</v>
      </c>
      <c r="E85" t="s">
        <v>257</v>
      </c>
      <c r="F85" t="s">
        <v>149</v>
      </c>
      <c r="G85" t="s">
        <v>614</v>
      </c>
      <c r="H85" t="s">
        <v>20</v>
      </c>
      <c r="I85" t="s">
        <v>258</v>
      </c>
      <c r="J85" t="s">
        <v>177</v>
      </c>
      <c r="K85" t="s">
        <v>116</v>
      </c>
      <c r="L85" t="s">
        <v>268</v>
      </c>
      <c r="M85" t="s">
        <v>260</v>
      </c>
      <c r="N85" s="58">
        <v>24200</v>
      </c>
      <c r="O85" s="58">
        <v>120000</v>
      </c>
      <c r="P85">
        <v>242</v>
      </c>
      <c r="Q85">
        <v>0</v>
      </c>
      <c r="R85" t="s">
        <v>261</v>
      </c>
      <c r="S85" s="50">
        <v>45834</v>
      </c>
      <c r="T85" s="50">
        <v>46198</v>
      </c>
      <c r="U85" s="50">
        <v>46198</v>
      </c>
      <c r="V85" t="s">
        <v>219</v>
      </c>
      <c r="Y85" t="s">
        <v>57</v>
      </c>
      <c r="Z85" t="s">
        <v>57</v>
      </c>
      <c r="AA85" t="s">
        <v>57</v>
      </c>
      <c r="AB85" t="s">
        <v>57</v>
      </c>
      <c r="AC85" t="s">
        <v>638</v>
      </c>
      <c r="AD85" s="50">
        <v>45980</v>
      </c>
      <c r="AE85" t="s">
        <v>274</v>
      </c>
      <c r="AF85" t="s">
        <v>639</v>
      </c>
      <c r="AG85" t="s">
        <v>278</v>
      </c>
      <c r="AH85" t="s">
        <v>385</v>
      </c>
    </row>
    <row r="86" spans="1:34" x14ac:dyDescent="0.2">
      <c r="A86" t="s">
        <v>418</v>
      </c>
      <c r="B86" t="s">
        <v>217</v>
      </c>
      <c r="C86" t="s">
        <v>634</v>
      </c>
      <c r="D86" t="s">
        <v>695</v>
      </c>
      <c r="E86" t="s">
        <v>276</v>
      </c>
      <c r="F86" t="s">
        <v>218</v>
      </c>
      <c r="G86" t="s">
        <v>218</v>
      </c>
      <c r="H86" t="s">
        <v>20</v>
      </c>
      <c r="I86" t="s">
        <v>626</v>
      </c>
      <c r="J86" t="s">
        <v>49</v>
      </c>
      <c r="K86" t="s">
        <v>34</v>
      </c>
      <c r="L86" t="s">
        <v>268</v>
      </c>
      <c r="M86" t="s">
        <v>218</v>
      </c>
      <c r="O86" s="58">
        <v>25000</v>
      </c>
      <c r="P86">
        <v>500</v>
      </c>
      <c r="Q86">
        <v>100</v>
      </c>
      <c r="R86" t="s">
        <v>261</v>
      </c>
      <c r="S86" s="50">
        <v>44981</v>
      </c>
      <c r="T86" s="50">
        <v>45138</v>
      </c>
      <c r="U86" s="50">
        <v>45138</v>
      </c>
      <c r="V86" t="s">
        <v>219</v>
      </c>
      <c r="Y86" t="s">
        <v>26</v>
      </c>
      <c r="Z86" t="s">
        <v>26</v>
      </c>
      <c r="AA86" t="s">
        <v>26</v>
      </c>
      <c r="AB86" t="s">
        <v>57</v>
      </c>
      <c r="AC86" t="s">
        <v>218</v>
      </c>
      <c r="AD86" s="50">
        <v>45209</v>
      </c>
      <c r="AE86" t="s">
        <v>307</v>
      </c>
      <c r="AF86" t="s">
        <v>419</v>
      </c>
      <c r="AG86" t="s">
        <v>278</v>
      </c>
      <c r="AH86" t="s">
        <v>279</v>
      </c>
    </row>
    <row r="87" spans="1:34" x14ac:dyDescent="0.2">
      <c r="A87" t="s">
        <v>65</v>
      </c>
      <c r="B87" t="s">
        <v>217</v>
      </c>
      <c r="C87" t="s">
        <v>256</v>
      </c>
      <c r="D87" t="s">
        <v>256</v>
      </c>
      <c r="E87" t="s">
        <v>267</v>
      </c>
      <c r="F87" t="s">
        <v>155</v>
      </c>
      <c r="G87" t="s">
        <v>285</v>
      </c>
      <c r="H87" t="s">
        <v>23</v>
      </c>
      <c r="I87" t="s">
        <v>626</v>
      </c>
      <c r="J87" t="s">
        <v>179</v>
      </c>
      <c r="K87" t="s">
        <v>117</v>
      </c>
      <c r="L87" t="s">
        <v>259</v>
      </c>
      <c r="M87" t="s">
        <v>316</v>
      </c>
      <c r="N87" s="58">
        <v>120000</v>
      </c>
      <c r="O87" s="58">
        <v>24000</v>
      </c>
      <c r="P87">
        <v>3423</v>
      </c>
      <c r="Q87">
        <v>0</v>
      </c>
      <c r="R87" t="s">
        <v>323</v>
      </c>
      <c r="S87" s="50">
        <v>45017</v>
      </c>
      <c r="T87" s="50">
        <v>46843</v>
      </c>
      <c r="U87" s="50">
        <v>46843</v>
      </c>
      <c r="V87" t="s">
        <v>218</v>
      </c>
      <c r="Y87" t="s">
        <v>26</v>
      </c>
      <c r="Z87" t="s">
        <v>26</v>
      </c>
      <c r="AA87" t="s">
        <v>57</v>
      </c>
      <c r="AB87" t="s">
        <v>26</v>
      </c>
      <c r="AC87" t="s">
        <v>218</v>
      </c>
      <c r="AD87" s="50">
        <v>45987</v>
      </c>
      <c r="AE87" t="s">
        <v>307</v>
      </c>
      <c r="AF87" t="s">
        <v>420</v>
      </c>
      <c r="AG87" t="s">
        <v>341</v>
      </c>
      <c r="AH87" t="s">
        <v>265</v>
      </c>
    </row>
    <row r="88" spans="1:34" x14ac:dyDescent="0.2">
      <c r="A88" t="s">
        <v>66</v>
      </c>
      <c r="B88" t="s">
        <v>217</v>
      </c>
      <c r="C88" t="s">
        <v>256</v>
      </c>
      <c r="D88" t="s">
        <v>256</v>
      </c>
      <c r="E88" t="s">
        <v>267</v>
      </c>
      <c r="F88" t="s">
        <v>144</v>
      </c>
      <c r="G88" t="s">
        <v>349</v>
      </c>
      <c r="H88" t="s">
        <v>32</v>
      </c>
      <c r="I88" t="s">
        <v>601</v>
      </c>
      <c r="J88" t="s">
        <v>177</v>
      </c>
      <c r="K88" t="s">
        <v>119</v>
      </c>
      <c r="L88" t="s">
        <v>268</v>
      </c>
      <c r="M88" t="s">
        <v>316</v>
      </c>
      <c r="N88" s="58">
        <v>1059159</v>
      </c>
      <c r="O88" s="58">
        <v>0</v>
      </c>
      <c r="P88">
        <v>38408</v>
      </c>
      <c r="Q88">
        <v>0</v>
      </c>
      <c r="R88" t="s">
        <v>421</v>
      </c>
      <c r="S88" s="50">
        <v>45458</v>
      </c>
      <c r="T88" s="50">
        <v>46827</v>
      </c>
      <c r="U88" s="50">
        <v>46827</v>
      </c>
      <c r="V88" t="s">
        <v>219</v>
      </c>
      <c r="Y88" t="s">
        <v>26</v>
      </c>
      <c r="Z88" t="s">
        <v>26</v>
      </c>
      <c r="AA88" t="s">
        <v>26</v>
      </c>
      <c r="AB88" t="s">
        <v>27</v>
      </c>
      <c r="AC88" t="s">
        <v>603</v>
      </c>
      <c r="AD88" s="50">
        <v>46003</v>
      </c>
      <c r="AE88" t="s">
        <v>307</v>
      </c>
      <c r="AF88" t="s">
        <v>422</v>
      </c>
      <c r="AG88" t="s">
        <v>339</v>
      </c>
      <c r="AH88" t="s">
        <v>265</v>
      </c>
    </row>
    <row r="89" spans="1:34" x14ac:dyDescent="0.2">
      <c r="A89" t="s">
        <v>703</v>
      </c>
      <c r="B89" t="s">
        <v>217</v>
      </c>
      <c r="C89" t="s">
        <v>606</v>
      </c>
      <c r="D89" t="s">
        <v>695</v>
      </c>
      <c r="F89" t="s">
        <v>218</v>
      </c>
      <c r="G89" t="s">
        <v>218</v>
      </c>
      <c r="H89" t="s">
        <v>20</v>
      </c>
      <c r="I89" t="s">
        <v>218</v>
      </c>
      <c r="J89" t="s">
        <v>218</v>
      </c>
      <c r="K89" t="s">
        <v>218</v>
      </c>
      <c r="L89" t="s">
        <v>259</v>
      </c>
      <c r="M89" t="s">
        <v>218</v>
      </c>
      <c r="O89" s="58">
        <v>22500</v>
      </c>
      <c r="P89">
        <v>0</v>
      </c>
      <c r="Q89">
        <v>0</v>
      </c>
      <c r="R89" t="s">
        <v>218</v>
      </c>
      <c r="V89" t="s">
        <v>219</v>
      </c>
      <c r="Y89" t="s">
        <v>218</v>
      </c>
      <c r="Z89" t="s">
        <v>218</v>
      </c>
      <c r="AA89" t="s">
        <v>218</v>
      </c>
      <c r="AB89" t="s">
        <v>218</v>
      </c>
      <c r="AC89" t="s">
        <v>218</v>
      </c>
      <c r="AE89" t="s">
        <v>218</v>
      </c>
      <c r="AF89" t="s">
        <v>218</v>
      </c>
      <c r="AG89" t="s">
        <v>218</v>
      </c>
      <c r="AH89" t="s">
        <v>265</v>
      </c>
    </row>
    <row r="90" spans="1:34" x14ac:dyDescent="0.2">
      <c r="A90" t="s">
        <v>67</v>
      </c>
      <c r="B90" t="s">
        <v>217</v>
      </c>
      <c r="C90" t="s">
        <v>256</v>
      </c>
      <c r="D90" t="s">
        <v>256</v>
      </c>
      <c r="E90" t="s">
        <v>267</v>
      </c>
      <c r="F90" t="s">
        <v>155</v>
      </c>
      <c r="G90" t="s">
        <v>693</v>
      </c>
      <c r="H90" t="s">
        <v>20</v>
      </c>
      <c r="I90" t="s">
        <v>626</v>
      </c>
      <c r="J90" t="s">
        <v>177</v>
      </c>
      <c r="K90" t="s">
        <v>25</v>
      </c>
      <c r="L90" t="s">
        <v>259</v>
      </c>
      <c r="M90" t="s">
        <v>292</v>
      </c>
      <c r="N90" s="58">
        <v>62332</v>
      </c>
      <c r="O90" s="58">
        <v>12495</v>
      </c>
      <c r="P90">
        <v>1450</v>
      </c>
      <c r="Q90">
        <v>0</v>
      </c>
      <c r="R90" t="s">
        <v>383</v>
      </c>
      <c r="S90" s="50">
        <v>45645</v>
      </c>
      <c r="T90" s="50">
        <v>47483</v>
      </c>
      <c r="U90" s="50">
        <v>47483</v>
      </c>
      <c r="V90" t="s">
        <v>218</v>
      </c>
      <c r="Y90" t="s">
        <v>27</v>
      </c>
      <c r="Z90" t="s">
        <v>27</v>
      </c>
      <c r="AA90" t="s">
        <v>607</v>
      </c>
      <c r="AB90" t="s">
        <v>27</v>
      </c>
      <c r="AC90" t="s">
        <v>218</v>
      </c>
      <c r="AD90" s="50">
        <v>45939</v>
      </c>
      <c r="AE90" t="s">
        <v>274</v>
      </c>
      <c r="AF90" t="s">
        <v>423</v>
      </c>
      <c r="AG90" t="s">
        <v>278</v>
      </c>
      <c r="AH90" t="s">
        <v>279</v>
      </c>
    </row>
    <row r="91" spans="1:34" x14ac:dyDescent="0.2">
      <c r="A91" t="s">
        <v>424</v>
      </c>
      <c r="B91" t="s">
        <v>217</v>
      </c>
      <c r="C91" t="s">
        <v>282</v>
      </c>
      <c r="D91" t="s">
        <v>695</v>
      </c>
      <c r="E91" t="s">
        <v>276</v>
      </c>
      <c r="F91" t="s">
        <v>218</v>
      </c>
      <c r="G91" t="s">
        <v>218</v>
      </c>
      <c r="H91" t="s">
        <v>20</v>
      </c>
      <c r="I91" t="s">
        <v>626</v>
      </c>
      <c r="J91" t="s">
        <v>218</v>
      </c>
      <c r="K91" t="s">
        <v>218</v>
      </c>
      <c r="L91" t="s">
        <v>259</v>
      </c>
      <c r="M91" t="s">
        <v>218</v>
      </c>
      <c r="P91">
        <v>0</v>
      </c>
      <c r="Q91">
        <v>0</v>
      </c>
      <c r="R91" t="s">
        <v>261</v>
      </c>
      <c r="S91" s="50">
        <v>44652</v>
      </c>
      <c r="T91" s="50">
        <v>44926</v>
      </c>
      <c r="U91" s="50">
        <v>44926</v>
      </c>
      <c r="V91" t="s">
        <v>282</v>
      </c>
      <c r="Y91" t="s">
        <v>218</v>
      </c>
      <c r="Z91" t="s">
        <v>218</v>
      </c>
      <c r="AA91" t="s">
        <v>218</v>
      </c>
      <c r="AB91" t="s">
        <v>218</v>
      </c>
      <c r="AC91" t="s">
        <v>218</v>
      </c>
      <c r="AE91" t="s">
        <v>218</v>
      </c>
      <c r="AF91" t="s">
        <v>425</v>
      </c>
      <c r="AG91" t="s">
        <v>337</v>
      </c>
      <c r="AH91" t="s">
        <v>265</v>
      </c>
    </row>
    <row r="92" spans="1:34" x14ac:dyDescent="0.2">
      <c r="A92" t="s">
        <v>68</v>
      </c>
      <c r="B92" t="s">
        <v>217</v>
      </c>
      <c r="C92" t="s">
        <v>256</v>
      </c>
      <c r="D92" t="s">
        <v>256</v>
      </c>
      <c r="E92" t="s">
        <v>267</v>
      </c>
      <c r="F92" t="s">
        <v>149</v>
      </c>
      <c r="G92" t="s">
        <v>349</v>
      </c>
      <c r="H92" t="s">
        <v>23</v>
      </c>
      <c r="I92" t="s">
        <v>258</v>
      </c>
      <c r="J92" t="s">
        <v>69</v>
      </c>
      <c r="K92" t="s">
        <v>119</v>
      </c>
      <c r="L92" t="s">
        <v>268</v>
      </c>
      <c r="M92" t="s">
        <v>316</v>
      </c>
      <c r="N92" s="58">
        <v>200372</v>
      </c>
      <c r="O92" s="58">
        <v>60000</v>
      </c>
      <c r="P92">
        <v>2200</v>
      </c>
      <c r="Q92">
        <v>0</v>
      </c>
      <c r="R92" t="s">
        <v>323</v>
      </c>
      <c r="S92" s="50">
        <v>44981</v>
      </c>
      <c r="T92" s="50">
        <v>46387</v>
      </c>
      <c r="U92" s="50">
        <v>46327</v>
      </c>
      <c r="V92" t="s">
        <v>602</v>
      </c>
      <c r="W92" s="50">
        <v>45288</v>
      </c>
      <c r="Y92" t="s">
        <v>26</v>
      </c>
      <c r="Z92" t="s">
        <v>26</v>
      </c>
      <c r="AA92" t="s">
        <v>57</v>
      </c>
      <c r="AB92" t="s">
        <v>27</v>
      </c>
      <c r="AC92" t="s">
        <v>218</v>
      </c>
      <c r="AD92" s="50">
        <v>45943</v>
      </c>
      <c r="AE92" t="s">
        <v>294</v>
      </c>
      <c r="AF92" t="s">
        <v>426</v>
      </c>
      <c r="AG92" t="s">
        <v>427</v>
      </c>
      <c r="AH92" t="s">
        <v>265</v>
      </c>
    </row>
    <row r="93" spans="1:34" x14ac:dyDescent="0.2">
      <c r="A93" t="s">
        <v>70</v>
      </c>
      <c r="B93" t="s">
        <v>217</v>
      </c>
      <c r="C93" t="s">
        <v>256</v>
      </c>
      <c r="D93" t="s">
        <v>256</v>
      </c>
      <c r="E93" t="s">
        <v>257</v>
      </c>
      <c r="F93" t="s">
        <v>155</v>
      </c>
      <c r="G93" t="s">
        <v>620</v>
      </c>
      <c r="H93" t="s">
        <v>23</v>
      </c>
      <c r="I93" t="s">
        <v>637</v>
      </c>
      <c r="J93" t="s">
        <v>53</v>
      </c>
      <c r="K93" t="s">
        <v>699</v>
      </c>
      <c r="L93" t="s">
        <v>259</v>
      </c>
      <c r="M93" t="s">
        <v>218</v>
      </c>
      <c r="N93" s="58">
        <v>69466</v>
      </c>
      <c r="P93">
        <v>520</v>
      </c>
      <c r="Q93">
        <v>32</v>
      </c>
      <c r="R93" t="s">
        <v>305</v>
      </c>
      <c r="S93" s="50">
        <v>45598</v>
      </c>
      <c r="T93" s="50">
        <v>46326</v>
      </c>
      <c r="U93" s="50">
        <v>46326</v>
      </c>
      <c r="V93" t="s">
        <v>602</v>
      </c>
      <c r="W93" s="50">
        <v>45991</v>
      </c>
      <c r="Y93" t="s">
        <v>26</v>
      </c>
      <c r="Z93" t="s">
        <v>26</v>
      </c>
      <c r="AA93" t="s">
        <v>27</v>
      </c>
      <c r="AB93" t="s">
        <v>27</v>
      </c>
      <c r="AC93" t="s">
        <v>86</v>
      </c>
      <c r="AD93" s="50">
        <v>45803</v>
      </c>
      <c r="AE93" t="s">
        <v>274</v>
      </c>
      <c r="AF93" t="s">
        <v>428</v>
      </c>
      <c r="AG93" t="s">
        <v>328</v>
      </c>
      <c r="AH93" t="s">
        <v>265</v>
      </c>
    </row>
    <row r="94" spans="1:34" x14ac:dyDescent="0.2">
      <c r="A94" t="s">
        <v>211</v>
      </c>
      <c r="B94" t="s">
        <v>217</v>
      </c>
      <c r="C94" t="s">
        <v>256</v>
      </c>
      <c r="D94" t="s">
        <v>256</v>
      </c>
      <c r="E94" t="s">
        <v>257</v>
      </c>
      <c r="F94" t="s">
        <v>155</v>
      </c>
      <c r="G94" t="s">
        <v>218</v>
      </c>
      <c r="H94" t="s">
        <v>20</v>
      </c>
      <c r="I94" t="s">
        <v>626</v>
      </c>
      <c r="J94" t="s">
        <v>179</v>
      </c>
      <c r="K94" t="s">
        <v>115</v>
      </c>
      <c r="L94" t="s">
        <v>259</v>
      </c>
      <c r="M94" t="s">
        <v>218</v>
      </c>
      <c r="N94" s="58">
        <v>25000</v>
      </c>
      <c r="O94" s="58">
        <v>10000</v>
      </c>
      <c r="P94">
        <v>290</v>
      </c>
      <c r="Q94">
        <v>0</v>
      </c>
      <c r="R94" t="s">
        <v>261</v>
      </c>
      <c r="S94" s="50">
        <v>46006</v>
      </c>
      <c r="T94" s="50">
        <v>46371</v>
      </c>
      <c r="U94" s="50">
        <v>46371</v>
      </c>
      <c r="V94" t="s">
        <v>219</v>
      </c>
      <c r="Y94" t="s">
        <v>26</v>
      </c>
      <c r="Z94" t="s">
        <v>26</v>
      </c>
      <c r="AA94" t="s">
        <v>27</v>
      </c>
      <c r="AB94" t="s">
        <v>27</v>
      </c>
      <c r="AC94" t="s">
        <v>86</v>
      </c>
      <c r="AE94" t="s">
        <v>262</v>
      </c>
      <c r="AF94" t="s">
        <v>218</v>
      </c>
      <c r="AG94" t="s">
        <v>218</v>
      </c>
      <c r="AH94" t="s">
        <v>265</v>
      </c>
    </row>
    <row r="95" spans="1:34" x14ac:dyDescent="0.2">
      <c r="A95" t="s">
        <v>71</v>
      </c>
      <c r="B95" t="s">
        <v>217</v>
      </c>
      <c r="C95" t="s">
        <v>634</v>
      </c>
      <c r="D95" t="s">
        <v>695</v>
      </c>
      <c r="E95" t="s">
        <v>267</v>
      </c>
      <c r="F95" t="s">
        <v>161</v>
      </c>
      <c r="G95" t="s">
        <v>614</v>
      </c>
      <c r="H95" t="s">
        <v>23</v>
      </c>
      <c r="I95" t="s">
        <v>320</v>
      </c>
      <c r="J95" t="s">
        <v>69</v>
      </c>
      <c r="K95" t="s">
        <v>117</v>
      </c>
      <c r="L95" t="s">
        <v>259</v>
      </c>
      <c r="M95" t="s">
        <v>218</v>
      </c>
      <c r="O95" s="58">
        <v>56000</v>
      </c>
      <c r="P95">
        <v>2218</v>
      </c>
      <c r="Q95">
        <v>0</v>
      </c>
      <c r="R95" t="s">
        <v>261</v>
      </c>
      <c r="S95" s="50">
        <v>44531</v>
      </c>
      <c r="T95" s="50">
        <v>46054</v>
      </c>
      <c r="U95" s="50">
        <v>46022</v>
      </c>
      <c r="V95" t="s">
        <v>602</v>
      </c>
      <c r="W95" s="50">
        <v>44923</v>
      </c>
      <c r="X95" s="50">
        <v>46054</v>
      </c>
      <c r="Y95" t="s">
        <v>604</v>
      </c>
      <c r="Z95" t="s">
        <v>604</v>
      </c>
      <c r="AA95" t="s">
        <v>607</v>
      </c>
      <c r="AB95" t="s">
        <v>612</v>
      </c>
      <c r="AC95" t="s">
        <v>218</v>
      </c>
      <c r="AD95" s="50">
        <v>45931</v>
      </c>
      <c r="AE95" t="s">
        <v>307</v>
      </c>
      <c r="AF95" t="s">
        <v>429</v>
      </c>
      <c r="AG95" t="s">
        <v>339</v>
      </c>
      <c r="AH95" t="s">
        <v>265</v>
      </c>
    </row>
    <row r="96" spans="1:34" x14ac:dyDescent="0.2">
      <c r="A96" t="s">
        <v>649</v>
      </c>
      <c r="B96" t="s">
        <v>217</v>
      </c>
      <c r="C96" t="s">
        <v>256</v>
      </c>
      <c r="D96" t="s">
        <v>256</v>
      </c>
      <c r="E96" t="s">
        <v>267</v>
      </c>
      <c r="F96" t="s">
        <v>149</v>
      </c>
      <c r="G96" t="s">
        <v>218</v>
      </c>
      <c r="H96" t="s">
        <v>20</v>
      </c>
      <c r="I96" t="s">
        <v>637</v>
      </c>
      <c r="J96" t="s">
        <v>44</v>
      </c>
      <c r="K96" t="s">
        <v>699</v>
      </c>
      <c r="L96" t="s">
        <v>259</v>
      </c>
      <c r="M96" t="s">
        <v>218</v>
      </c>
      <c r="N96" s="58">
        <v>199999</v>
      </c>
      <c r="P96">
        <v>9288</v>
      </c>
      <c r="Q96">
        <v>0</v>
      </c>
      <c r="R96" t="s">
        <v>261</v>
      </c>
      <c r="S96" s="50">
        <v>46022</v>
      </c>
      <c r="T96" s="50">
        <v>47117</v>
      </c>
      <c r="U96" s="50">
        <v>47118</v>
      </c>
      <c r="V96" t="s">
        <v>218</v>
      </c>
      <c r="Y96" t="s">
        <v>27</v>
      </c>
      <c r="Z96" t="s">
        <v>27</v>
      </c>
      <c r="AA96" t="s">
        <v>27</v>
      </c>
      <c r="AB96" t="s">
        <v>27</v>
      </c>
      <c r="AC96" t="s">
        <v>704</v>
      </c>
      <c r="AE96" t="s">
        <v>262</v>
      </c>
      <c r="AF96" t="s">
        <v>218</v>
      </c>
      <c r="AG96" t="s">
        <v>218</v>
      </c>
      <c r="AH96" t="s">
        <v>265</v>
      </c>
    </row>
    <row r="97" spans="1:34" x14ac:dyDescent="0.2">
      <c r="A97" t="s">
        <v>649</v>
      </c>
      <c r="B97" t="s">
        <v>632</v>
      </c>
      <c r="C97" t="s">
        <v>256</v>
      </c>
      <c r="D97" t="s">
        <v>256</v>
      </c>
      <c r="E97" t="s">
        <v>257</v>
      </c>
      <c r="F97" t="s">
        <v>155</v>
      </c>
      <c r="G97" t="s">
        <v>218</v>
      </c>
      <c r="H97" t="s">
        <v>20</v>
      </c>
      <c r="I97" t="s">
        <v>637</v>
      </c>
      <c r="J97" t="s">
        <v>44</v>
      </c>
      <c r="K97" t="s">
        <v>699</v>
      </c>
      <c r="L97" t="s">
        <v>259</v>
      </c>
      <c r="M97" t="s">
        <v>218</v>
      </c>
      <c r="N97" s="58">
        <v>18000</v>
      </c>
      <c r="P97">
        <v>0</v>
      </c>
      <c r="Q97">
        <v>0</v>
      </c>
      <c r="R97" t="s">
        <v>323</v>
      </c>
      <c r="S97" s="50">
        <v>46022</v>
      </c>
      <c r="T97" s="50">
        <v>46386</v>
      </c>
      <c r="U97" s="50">
        <v>46387</v>
      </c>
      <c r="V97" t="s">
        <v>219</v>
      </c>
      <c r="Y97" t="s">
        <v>218</v>
      </c>
      <c r="Z97" t="s">
        <v>218</v>
      </c>
      <c r="AA97" t="s">
        <v>218</v>
      </c>
      <c r="AB97" t="s">
        <v>218</v>
      </c>
      <c r="AC97" t="s">
        <v>218</v>
      </c>
      <c r="AE97" t="s">
        <v>218</v>
      </c>
      <c r="AF97" t="s">
        <v>218</v>
      </c>
      <c r="AG97" t="s">
        <v>218</v>
      </c>
      <c r="AH97" t="s">
        <v>265</v>
      </c>
    </row>
    <row r="98" spans="1:34" x14ac:dyDescent="0.2">
      <c r="A98" t="s">
        <v>72</v>
      </c>
      <c r="B98" t="s">
        <v>217</v>
      </c>
      <c r="C98" t="s">
        <v>256</v>
      </c>
      <c r="D98" t="s">
        <v>256</v>
      </c>
      <c r="E98" t="s">
        <v>267</v>
      </c>
      <c r="F98" t="s">
        <v>155</v>
      </c>
      <c r="G98" t="s">
        <v>693</v>
      </c>
      <c r="H98" t="s">
        <v>23</v>
      </c>
      <c r="I98" t="s">
        <v>626</v>
      </c>
      <c r="J98" t="s">
        <v>179</v>
      </c>
      <c r="K98" t="s">
        <v>118</v>
      </c>
      <c r="L98" t="s">
        <v>259</v>
      </c>
      <c r="M98" t="s">
        <v>286</v>
      </c>
      <c r="N98" s="58">
        <v>110825</v>
      </c>
      <c r="O98" s="58">
        <v>22165</v>
      </c>
      <c r="P98">
        <v>1125</v>
      </c>
      <c r="Q98">
        <v>0</v>
      </c>
      <c r="R98" t="s">
        <v>383</v>
      </c>
      <c r="S98" s="50">
        <v>45646</v>
      </c>
      <c r="T98" s="50">
        <v>47118</v>
      </c>
      <c r="U98" s="50">
        <v>47118</v>
      </c>
      <c r="V98" t="s">
        <v>218</v>
      </c>
      <c r="Y98" t="s">
        <v>26</v>
      </c>
      <c r="Z98" t="s">
        <v>27</v>
      </c>
      <c r="AA98" t="s">
        <v>27</v>
      </c>
      <c r="AB98" t="s">
        <v>27</v>
      </c>
      <c r="AC98" t="s">
        <v>705</v>
      </c>
      <c r="AD98" s="50">
        <v>45918</v>
      </c>
      <c r="AE98" t="s">
        <v>274</v>
      </c>
      <c r="AF98" t="s">
        <v>430</v>
      </c>
      <c r="AG98" t="s">
        <v>341</v>
      </c>
      <c r="AH98" t="s">
        <v>265</v>
      </c>
    </row>
    <row r="99" spans="1:34" x14ac:dyDescent="0.2">
      <c r="A99" t="s">
        <v>431</v>
      </c>
      <c r="B99" t="s">
        <v>217</v>
      </c>
      <c r="C99" t="s">
        <v>302</v>
      </c>
      <c r="D99" t="s">
        <v>695</v>
      </c>
      <c r="E99" t="s">
        <v>267</v>
      </c>
      <c r="F99" t="s">
        <v>218</v>
      </c>
      <c r="G99" t="s">
        <v>218</v>
      </c>
      <c r="I99" t="s">
        <v>320</v>
      </c>
      <c r="J99" t="s">
        <v>218</v>
      </c>
      <c r="K99" t="s">
        <v>218</v>
      </c>
      <c r="L99" t="s">
        <v>259</v>
      </c>
      <c r="M99" t="s">
        <v>286</v>
      </c>
      <c r="P99">
        <v>0</v>
      </c>
      <c r="Q99">
        <v>0</v>
      </c>
      <c r="R99" t="s">
        <v>383</v>
      </c>
      <c r="S99" s="50">
        <v>44440</v>
      </c>
      <c r="T99" s="50">
        <v>44957</v>
      </c>
      <c r="U99" s="50">
        <v>46388</v>
      </c>
      <c r="V99" t="s">
        <v>218</v>
      </c>
      <c r="X99" s="50">
        <v>44957</v>
      </c>
      <c r="Y99" t="s">
        <v>218</v>
      </c>
      <c r="Z99" t="s">
        <v>218</v>
      </c>
      <c r="AA99" t="s">
        <v>218</v>
      </c>
      <c r="AB99" t="s">
        <v>218</v>
      </c>
      <c r="AC99" t="s">
        <v>218</v>
      </c>
      <c r="AE99" t="s">
        <v>218</v>
      </c>
      <c r="AF99" t="s">
        <v>432</v>
      </c>
      <c r="AG99" t="s">
        <v>339</v>
      </c>
      <c r="AH99" t="s">
        <v>265</v>
      </c>
    </row>
    <row r="100" spans="1:34" x14ac:dyDescent="0.2">
      <c r="A100" t="s">
        <v>212</v>
      </c>
      <c r="B100" t="s">
        <v>217</v>
      </c>
      <c r="C100" t="s">
        <v>256</v>
      </c>
      <c r="D100" t="s">
        <v>256</v>
      </c>
      <c r="E100" t="s">
        <v>257</v>
      </c>
      <c r="F100" t="s">
        <v>144</v>
      </c>
      <c r="G100" t="s">
        <v>218</v>
      </c>
      <c r="H100" t="s">
        <v>20</v>
      </c>
      <c r="I100" t="s">
        <v>402</v>
      </c>
      <c r="J100" t="s">
        <v>53</v>
      </c>
      <c r="K100" t="s">
        <v>25</v>
      </c>
      <c r="L100" t="s">
        <v>268</v>
      </c>
      <c r="M100" t="s">
        <v>218</v>
      </c>
      <c r="N100" s="58">
        <v>99000</v>
      </c>
      <c r="O100" s="58">
        <v>89700</v>
      </c>
      <c r="P100">
        <v>0</v>
      </c>
      <c r="Q100">
        <v>0</v>
      </c>
      <c r="R100" t="s">
        <v>261</v>
      </c>
      <c r="S100" s="50">
        <v>46094</v>
      </c>
      <c r="T100" s="50">
        <v>46458</v>
      </c>
      <c r="U100" s="50">
        <v>46458</v>
      </c>
      <c r="V100" t="s">
        <v>219</v>
      </c>
      <c r="Y100" t="s">
        <v>218</v>
      </c>
      <c r="Z100" t="s">
        <v>218</v>
      </c>
      <c r="AA100" t="s">
        <v>218</v>
      </c>
      <c r="AB100" t="s">
        <v>218</v>
      </c>
      <c r="AC100" t="s">
        <v>218</v>
      </c>
      <c r="AE100" t="s">
        <v>262</v>
      </c>
      <c r="AF100" t="s">
        <v>218</v>
      </c>
      <c r="AG100" t="s">
        <v>218</v>
      </c>
      <c r="AH100" t="s">
        <v>265</v>
      </c>
    </row>
    <row r="101" spans="1:34" x14ac:dyDescent="0.2">
      <c r="A101" t="s">
        <v>73</v>
      </c>
      <c r="B101" t="s">
        <v>217</v>
      </c>
      <c r="C101" t="s">
        <v>256</v>
      </c>
      <c r="D101" t="s">
        <v>256</v>
      </c>
      <c r="E101" t="s">
        <v>267</v>
      </c>
      <c r="F101" t="s">
        <v>155</v>
      </c>
      <c r="G101" t="s">
        <v>349</v>
      </c>
      <c r="H101" t="s">
        <v>23</v>
      </c>
      <c r="I101" t="s">
        <v>626</v>
      </c>
      <c r="J101" t="s">
        <v>179</v>
      </c>
      <c r="K101" t="s">
        <v>117</v>
      </c>
      <c r="L101" t="s">
        <v>259</v>
      </c>
      <c r="M101" t="s">
        <v>286</v>
      </c>
      <c r="N101" s="58">
        <v>96594</v>
      </c>
      <c r="O101" s="58">
        <v>12263</v>
      </c>
      <c r="P101">
        <v>1486</v>
      </c>
      <c r="Q101">
        <v>0</v>
      </c>
      <c r="R101" t="s">
        <v>383</v>
      </c>
      <c r="S101" s="50">
        <v>45506</v>
      </c>
      <c r="T101" s="50">
        <v>46600</v>
      </c>
      <c r="U101" s="50">
        <v>46601</v>
      </c>
      <c r="V101" t="s">
        <v>218</v>
      </c>
      <c r="Y101" t="s">
        <v>26</v>
      </c>
      <c r="Z101" t="s">
        <v>26</v>
      </c>
      <c r="AA101" t="s">
        <v>57</v>
      </c>
      <c r="AB101" t="s">
        <v>57</v>
      </c>
      <c r="AC101" t="s">
        <v>218</v>
      </c>
      <c r="AD101" s="50">
        <v>45980</v>
      </c>
      <c r="AE101" t="s">
        <v>274</v>
      </c>
      <c r="AF101" t="s">
        <v>433</v>
      </c>
      <c r="AG101" t="s">
        <v>341</v>
      </c>
      <c r="AH101" t="s">
        <v>265</v>
      </c>
    </row>
    <row r="102" spans="1:34" x14ac:dyDescent="0.2">
      <c r="A102" t="s">
        <v>434</v>
      </c>
      <c r="B102" t="s">
        <v>217</v>
      </c>
      <c r="C102" t="s">
        <v>282</v>
      </c>
      <c r="D102" t="s">
        <v>695</v>
      </c>
      <c r="E102" t="s">
        <v>276</v>
      </c>
      <c r="F102" t="s">
        <v>218</v>
      </c>
      <c r="G102" t="s">
        <v>218</v>
      </c>
      <c r="H102" t="s">
        <v>20</v>
      </c>
      <c r="I102" t="s">
        <v>626</v>
      </c>
      <c r="J102" t="s">
        <v>218</v>
      </c>
      <c r="K102" t="s">
        <v>218</v>
      </c>
      <c r="L102" t="s">
        <v>259</v>
      </c>
      <c r="M102" t="s">
        <v>218</v>
      </c>
      <c r="P102">
        <v>0</v>
      </c>
      <c r="Q102">
        <v>0</v>
      </c>
      <c r="R102" t="s">
        <v>261</v>
      </c>
      <c r="S102" s="50">
        <v>45034</v>
      </c>
      <c r="T102" s="50">
        <v>45078</v>
      </c>
      <c r="U102" s="50">
        <v>45078</v>
      </c>
      <c r="V102" t="s">
        <v>282</v>
      </c>
      <c r="Y102" t="s">
        <v>218</v>
      </c>
      <c r="Z102" t="s">
        <v>218</v>
      </c>
      <c r="AA102" t="s">
        <v>218</v>
      </c>
      <c r="AB102" t="s">
        <v>218</v>
      </c>
      <c r="AC102" t="s">
        <v>218</v>
      </c>
      <c r="AE102" t="s">
        <v>218</v>
      </c>
      <c r="AF102" t="s">
        <v>435</v>
      </c>
      <c r="AG102" t="s">
        <v>436</v>
      </c>
      <c r="AH102" t="s">
        <v>265</v>
      </c>
    </row>
    <row r="103" spans="1:34" x14ac:dyDescent="0.2">
      <c r="A103" t="s">
        <v>437</v>
      </c>
      <c r="B103" t="s">
        <v>217</v>
      </c>
      <c r="C103" t="s">
        <v>282</v>
      </c>
      <c r="D103" t="s">
        <v>695</v>
      </c>
      <c r="E103" t="s">
        <v>276</v>
      </c>
      <c r="F103" t="s">
        <v>218</v>
      </c>
      <c r="G103" t="s">
        <v>218</v>
      </c>
      <c r="H103" t="s">
        <v>20</v>
      </c>
      <c r="I103" t="s">
        <v>637</v>
      </c>
      <c r="J103" t="s">
        <v>218</v>
      </c>
      <c r="K103" t="s">
        <v>218</v>
      </c>
      <c r="L103" t="s">
        <v>259</v>
      </c>
      <c r="M103" t="s">
        <v>218</v>
      </c>
      <c r="P103">
        <v>0</v>
      </c>
      <c r="Q103">
        <v>0</v>
      </c>
      <c r="R103" t="s">
        <v>261</v>
      </c>
      <c r="S103" s="50">
        <v>44774</v>
      </c>
      <c r="T103" s="50">
        <v>44901</v>
      </c>
      <c r="U103" s="50">
        <v>44901</v>
      </c>
      <c r="V103" t="s">
        <v>282</v>
      </c>
      <c r="Y103" t="s">
        <v>218</v>
      </c>
      <c r="Z103" t="s">
        <v>218</v>
      </c>
      <c r="AA103" t="s">
        <v>218</v>
      </c>
      <c r="AB103" t="s">
        <v>218</v>
      </c>
      <c r="AC103" t="s">
        <v>218</v>
      </c>
      <c r="AE103" t="s">
        <v>218</v>
      </c>
      <c r="AF103" t="s">
        <v>438</v>
      </c>
      <c r="AG103" t="s">
        <v>328</v>
      </c>
      <c r="AH103" t="s">
        <v>265</v>
      </c>
    </row>
    <row r="104" spans="1:34" x14ac:dyDescent="0.2">
      <c r="A104" t="s">
        <v>664</v>
      </c>
      <c r="B104" t="s">
        <v>632</v>
      </c>
      <c r="C104" t="s">
        <v>256</v>
      </c>
      <c r="D104" t="s">
        <v>256</v>
      </c>
      <c r="E104" t="s">
        <v>257</v>
      </c>
      <c r="F104" t="s">
        <v>161</v>
      </c>
      <c r="G104" t="s">
        <v>218</v>
      </c>
      <c r="H104" t="s">
        <v>85</v>
      </c>
      <c r="I104" t="s">
        <v>637</v>
      </c>
      <c r="J104" t="s">
        <v>218</v>
      </c>
      <c r="K104" t="s">
        <v>218</v>
      </c>
      <c r="L104" t="s">
        <v>259</v>
      </c>
      <c r="M104" t="s">
        <v>218</v>
      </c>
      <c r="N104" s="58">
        <v>35000</v>
      </c>
      <c r="O104" s="58">
        <v>10500</v>
      </c>
      <c r="P104">
        <v>0</v>
      </c>
      <c r="Q104">
        <v>0</v>
      </c>
      <c r="R104" t="s">
        <v>261</v>
      </c>
      <c r="S104" s="50">
        <v>45950</v>
      </c>
      <c r="T104" s="50">
        <v>46314</v>
      </c>
      <c r="U104" s="50">
        <v>46314</v>
      </c>
      <c r="V104" t="s">
        <v>219</v>
      </c>
      <c r="Y104" t="s">
        <v>218</v>
      </c>
      <c r="Z104" t="s">
        <v>218</v>
      </c>
      <c r="AA104" t="s">
        <v>218</v>
      </c>
      <c r="AB104" t="s">
        <v>218</v>
      </c>
      <c r="AC104" t="s">
        <v>218</v>
      </c>
      <c r="AE104" t="s">
        <v>218</v>
      </c>
      <c r="AF104" t="s">
        <v>665</v>
      </c>
      <c r="AG104" t="s">
        <v>328</v>
      </c>
      <c r="AH104" t="s">
        <v>265</v>
      </c>
    </row>
    <row r="105" spans="1:34" x14ac:dyDescent="0.2">
      <c r="A105" t="s">
        <v>706</v>
      </c>
      <c r="B105" t="s">
        <v>217</v>
      </c>
      <c r="C105" t="s">
        <v>256</v>
      </c>
      <c r="D105" t="s">
        <v>256</v>
      </c>
      <c r="E105" t="s">
        <v>257</v>
      </c>
      <c r="F105" t="s">
        <v>155</v>
      </c>
      <c r="G105" t="s">
        <v>218</v>
      </c>
      <c r="H105" t="s">
        <v>20</v>
      </c>
      <c r="I105" t="s">
        <v>320</v>
      </c>
      <c r="J105" t="s">
        <v>69</v>
      </c>
      <c r="K105" t="s">
        <v>115</v>
      </c>
      <c r="L105" t="s">
        <v>259</v>
      </c>
      <c r="M105" t="s">
        <v>218</v>
      </c>
      <c r="N105" s="58">
        <v>25000</v>
      </c>
      <c r="O105" s="58">
        <v>8000</v>
      </c>
      <c r="P105">
        <v>250</v>
      </c>
      <c r="Q105">
        <v>0</v>
      </c>
      <c r="R105" t="s">
        <v>261</v>
      </c>
      <c r="S105" s="50">
        <v>46082</v>
      </c>
      <c r="T105" s="50">
        <v>46446</v>
      </c>
      <c r="U105" s="50">
        <v>46446</v>
      </c>
      <c r="V105" t="s">
        <v>219</v>
      </c>
      <c r="Y105" t="s">
        <v>218</v>
      </c>
      <c r="Z105" t="s">
        <v>218</v>
      </c>
      <c r="AA105" t="s">
        <v>218</v>
      </c>
      <c r="AB105" t="s">
        <v>218</v>
      </c>
      <c r="AC105" t="s">
        <v>218</v>
      </c>
      <c r="AE105" t="s">
        <v>262</v>
      </c>
      <c r="AF105" t="s">
        <v>218</v>
      </c>
      <c r="AG105" t="s">
        <v>218</v>
      </c>
      <c r="AH105" t="s">
        <v>265</v>
      </c>
    </row>
    <row r="106" spans="1:34" x14ac:dyDescent="0.2">
      <c r="A106" t="s">
        <v>74</v>
      </c>
      <c r="B106" t="s">
        <v>266</v>
      </c>
      <c r="C106" t="s">
        <v>256</v>
      </c>
      <c r="D106" t="s">
        <v>256</v>
      </c>
      <c r="E106" t="s">
        <v>267</v>
      </c>
      <c r="F106" t="s">
        <v>144</v>
      </c>
      <c r="G106" t="s">
        <v>218</v>
      </c>
      <c r="H106" t="s">
        <v>85</v>
      </c>
      <c r="I106" t="s">
        <v>601</v>
      </c>
      <c r="J106" t="s">
        <v>177</v>
      </c>
      <c r="K106" t="s">
        <v>218</v>
      </c>
      <c r="L106" t="s">
        <v>268</v>
      </c>
      <c r="M106" t="s">
        <v>218</v>
      </c>
      <c r="N106" s="58">
        <v>280000</v>
      </c>
      <c r="O106" s="58">
        <v>20000</v>
      </c>
      <c r="P106">
        <v>0</v>
      </c>
      <c r="Q106">
        <v>0</v>
      </c>
      <c r="R106" t="s">
        <v>261</v>
      </c>
      <c r="S106" s="50">
        <v>45839</v>
      </c>
      <c r="T106" s="50">
        <v>47118</v>
      </c>
      <c r="U106" s="50">
        <v>46203</v>
      </c>
      <c r="V106" t="s">
        <v>218</v>
      </c>
      <c r="Y106" t="s">
        <v>218</v>
      </c>
      <c r="Z106" t="s">
        <v>218</v>
      </c>
      <c r="AA106" t="s">
        <v>218</v>
      </c>
      <c r="AB106" t="s">
        <v>218</v>
      </c>
      <c r="AC106" t="s">
        <v>218</v>
      </c>
      <c r="AE106" t="s">
        <v>307</v>
      </c>
      <c r="AF106" t="s">
        <v>619</v>
      </c>
      <c r="AG106" t="s">
        <v>278</v>
      </c>
      <c r="AH106" t="s">
        <v>279</v>
      </c>
    </row>
    <row r="107" spans="1:34" x14ac:dyDescent="0.2">
      <c r="A107" t="s">
        <v>439</v>
      </c>
      <c r="B107" t="s">
        <v>217</v>
      </c>
      <c r="C107" t="s">
        <v>282</v>
      </c>
      <c r="D107" t="s">
        <v>695</v>
      </c>
      <c r="E107" t="s">
        <v>276</v>
      </c>
      <c r="F107" t="s">
        <v>218</v>
      </c>
      <c r="G107" t="s">
        <v>218</v>
      </c>
      <c r="H107" t="s">
        <v>20</v>
      </c>
      <c r="I107" t="s">
        <v>626</v>
      </c>
      <c r="J107" t="s">
        <v>218</v>
      </c>
      <c r="K107" t="s">
        <v>218</v>
      </c>
      <c r="L107" t="s">
        <v>268</v>
      </c>
      <c r="M107" t="s">
        <v>218</v>
      </c>
      <c r="P107">
        <v>0</v>
      </c>
      <c r="Q107">
        <v>0</v>
      </c>
      <c r="R107" t="s">
        <v>261</v>
      </c>
      <c r="S107" s="50">
        <v>44805</v>
      </c>
      <c r="T107" s="50">
        <v>44943</v>
      </c>
      <c r="U107" s="50">
        <v>44943</v>
      </c>
      <c r="V107" t="s">
        <v>282</v>
      </c>
      <c r="Y107" t="s">
        <v>218</v>
      </c>
      <c r="Z107" t="s">
        <v>218</v>
      </c>
      <c r="AA107" t="s">
        <v>218</v>
      </c>
      <c r="AB107" t="s">
        <v>218</v>
      </c>
      <c r="AC107" t="s">
        <v>218</v>
      </c>
      <c r="AE107" t="s">
        <v>218</v>
      </c>
      <c r="AF107" t="s">
        <v>440</v>
      </c>
      <c r="AG107" t="s">
        <v>354</v>
      </c>
      <c r="AH107" t="s">
        <v>265</v>
      </c>
    </row>
    <row r="108" spans="1:34" x14ac:dyDescent="0.2">
      <c r="A108" t="s">
        <v>441</v>
      </c>
      <c r="B108" t="s">
        <v>217</v>
      </c>
      <c r="C108" t="s">
        <v>282</v>
      </c>
      <c r="D108" t="s">
        <v>695</v>
      </c>
      <c r="E108" t="s">
        <v>276</v>
      </c>
      <c r="F108" t="s">
        <v>218</v>
      </c>
      <c r="G108" t="s">
        <v>218</v>
      </c>
      <c r="H108" t="s">
        <v>20</v>
      </c>
      <c r="I108" t="s">
        <v>258</v>
      </c>
      <c r="J108" t="s">
        <v>442</v>
      </c>
      <c r="K108" t="s">
        <v>34</v>
      </c>
      <c r="L108" t="s">
        <v>268</v>
      </c>
      <c r="M108" t="s">
        <v>218</v>
      </c>
      <c r="P108">
        <v>0</v>
      </c>
      <c r="Q108">
        <v>220</v>
      </c>
      <c r="R108" t="s">
        <v>261</v>
      </c>
      <c r="S108" s="50">
        <v>44958</v>
      </c>
      <c r="T108" s="50">
        <v>45122</v>
      </c>
      <c r="U108" s="50">
        <v>45122</v>
      </c>
      <c r="V108" t="s">
        <v>282</v>
      </c>
      <c r="Y108" t="s">
        <v>218</v>
      </c>
      <c r="Z108" t="s">
        <v>218</v>
      </c>
      <c r="AA108" t="s">
        <v>218</v>
      </c>
      <c r="AB108" t="s">
        <v>218</v>
      </c>
      <c r="AC108" t="s">
        <v>218</v>
      </c>
      <c r="AD108" s="50">
        <v>45195</v>
      </c>
      <c r="AE108" t="s">
        <v>218</v>
      </c>
      <c r="AF108" t="s">
        <v>443</v>
      </c>
      <c r="AG108" t="s">
        <v>337</v>
      </c>
      <c r="AH108" t="s">
        <v>265</v>
      </c>
    </row>
    <row r="109" spans="1:34" x14ac:dyDescent="0.2">
      <c r="A109" t="s">
        <v>444</v>
      </c>
      <c r="B109" t="s">
        <v>217</v>
      </c>
      <c r="C109" t="s">
        <v>282</v>
      </c>
      <c r="D109" t="s">
        <v>695</v>
      </c>
      <c r="E109" t="s">
        <v>276</v>
      </c>
      <c r="F109" t="s">
        <v>218</v>
      </c>
      <c r="G109" t="s">
        <v>218</v>
      </c>
      <c r="H109" t="s">
        <v>20</v>
      </c>
      <c r="I109" t="s">
        <v>626</v>
      </c>
      <c r="J109" t="s">
        <v>218</v>
      </c>
      <c r="K109" t="s">
        <v>218</v>
      </c>
      <c r="L109" t="s">
        <v>259</v>
      </c>
      <c r="M109" t="s">
        <v>218</v>
      </c>
      <c r="P109">
        <v>0</v>
      </c>
      <c r="Q109">
        <v>0</v>
      </c>
      <c r="R109" t="s">
        <v>261</v>
      </c>
      <c r="S109" s="50">
        <v>44835</v>
      </c>
      <c r="T109" s="50">
        <v>44985</v>
      </c>
      <c r="U109" s="50">
        <v>44985</v>
      </c>
      <c r="V109" t="s">
        <v>282</v>
      </c>
      <c r="Y109" t="s">
        <v>218</v>
      </c>
      <c r="Z109" t="s">
        <v>218</v>
      </c>
      <c r="AA109" t="s">
        <v>218</v>
      </c>
      <c r="AB109" t="s">
        <v>218</v>
      </c>
      <c r="AC109" t="s">
        <v>218</v>
      </c>
      <c r="AE109" t="s">
        <v>218</v>
      </c>
      <c r="AF109" t="s">
        <v>445</v>
      </c>
      <c r="AG109" t="s">
        <v>436</v>
      </c>
      <c r="AH109" t="s">
        <v>265</v>
      </c>
    </row>
    <row r="110" spans="1:34" x14ac:dyDescent="0.2">
      <c r="A110" t="s">
        <v>195</v>
      </c>
      <c r="B110" t="s">
        <v>217</v>
      </c>
      <c r="C110" t="s">
        <v>256</v>
      </c>
      <c r="D110" t="s">
        <v>256</v>
      </c>
      <c r="E110" t="s">
        <v>267</v>
      </c>
      <c r="F110" t="s">
        <v>155</v>
      </c>
      <c r="G110" t="s">
        <v>697</v>
      </c>
      <c r="H110" t="s">
        <v>20</v>
      </c>
      <c r="I110" t="s">
        <v>637</v>
      </c>
      <c r="J110" t="s">
        <v>44</v>
      </c>
      <c r="K110" t="s">
        <v>115</v>
      </c>
      <c r="L110" t="s">
        <v>259</v>
      </c>
      <c r="M110" t="s">
        <v>292</v>
      </c>
      <c r="N110" s="58">
        <v>132000</v>
      </c>
      <c r="O110" s="58">
        <v>39600</v>
      </c>
      <c r="P110">
        <v>1984</v>
      </c>
      <c r="Q110">
        <v>0</v>
      </c>
      <c r="R110" t="s">
        <v>261</v>
      </c>
      <c r="S110" s="50">
        <v>45900</v>
      </c>
      <c r="T110" s="50">
        <v>47725</v>
      </c>
      <c r="U110" s="50">
        <v>47725</v>
      </c>
      <c r="V110" t="s">
        <v>218</v>
      </c>
      <c r="Y110" t="s">
        <v>27</v>
      </c>
      <c r="Z110" t="s">
        <v>27</v>
      </c>
      <c r="AA110" t="s">
        <v>27</v>
      </c>
      <c r="AB110" t="s">
        <v>27</v>
      </c>
      <c r="AC110" t="s">
        <v>218</v>
      </c>
      <c r="AE110" t="s">
        <v>274</v>
      </c>
      <c r="AF110" t="s">
        <v>650</v>
      </c>
      <c r="AG110" t="s">
        <v>328</v>
      </c>
      <c r="AH110" t="s">
        <v>265</v>
      </c>
    </row>
    <row r="111" spans="1:34" x14ac:dyDescent="0.2">
      <c r="A111" t="s">
        <v>75</v>
      </c>
      <c r="B111" t="s">
        <v>217</v>
      </c>
      <c r="C111" t="s">
        <v>256</v>
      </c>
      <c r="D111" t="s">
        <v>256</v>
      </c>
      <c r="E111" t="s">
        <v>267</v>
      </c>
      <c r="F111" t="s">
        <v>155</v>
      </c>
      <c r="G111" t="s">
        <v>349</v>
      </c>
      <c r="H111" t="s">
        <v>20</v>
      </c>
      <c r="I111" t="s">
        <v>651</v>
      </c>
      <c r="J111" t="s">
        <v>60</v>
      </c>
      <c r="K111" t="s">
        <v>116</v>
      </c>
      <c r="L111" t="s">
        <v>268</v>
      </c>
      <c r="M111" t="s">
        <v>316</v>
      </c>
      <c r="N111" s="58">
        <v>55410</v>
      </c>
      <c r="P111">
        <v>933</v>
      </c>
      <c r="Q111">
        <v>0</v>
      </c>
      <c r="R111" t="s">
        <v>383</v>
      </c>
      <c r="S111" s="50">
        <v>45233</v>
      </c>
      <c r="T111" s="50">
        <v>47059</v>
      </c>
      <c r="U111" s="50">
        <v>47059</v>
      </c>
      <c r="V111" t="s">
        <v>602</v>
      </c>
      <c r="W111" s="50">
        <v>45236</v>
      </c>
      <c r="Y111" t="s">
        <v>26</v>
      </c>
      <c r="Z111" t="s">
        <v>26</v>
      </c>
      <c r="AA111" t="s">
        <v>57</v>
      </c>
      <c r="AB111" t="s">
        <v>27</v>
      </c>
      <c r="AC111" t="s">
        <v>218</v>
      </c>
      <c r="AD111" s="50">
        <v>45832</v>
      </c>
      <c r="AE111" t="s">
        <v>274</v>
      </c>
      <c r="AF111" t="s">
        <v>446</v>
      </c>
      <c r="AG111" t="s">
        <v>278</v>
      </c>
      <c r="AH111" t="s">
        <v>447</v>
      </c>
    </row>
    <row r="112" spans="1:34" x14ac:dyDescent="0.2">
      <c r="A112" t="s">
        <v>707</v>
      </c>
      <c r="B112" t="s">
        <v>217</v>
      </c>
      <c r="C112" t="s">
        <v>606</v>
      </c>
      <c r="D112" t="s">
        <v>695</v>
      </c>
      <c r="F112" t="s">
        <v>218</v>
      </c>
      <c r="G112" t="s">
        <v>218</v>
      </c>
      <c r="H112" t="s">
        <v>20</v>
      </c>
      <c r="I112" t="s">
        <v>218</v>
      </c>
      <c r="J112" t="s">
        <v>218</v>
      </c>
      <c r="K112" t="s">
        <v>218</v>
      </c>
      <c r="L112" t="s">
        <v>259</v>
      </c>
      <c r="M112" t="s">
        <v>218</v>
      </c>
      <c r="O112" s="58">
        <v>22500</v>
      </c>
      <c r="P112">
        <v>0</v>
      </c>
      <c r="Q112">
        <v>0</v>
      </c>
      <c r="R112" t="s">
        <v>218</v>
      </c>
      <c r="V112" t="s">
        <v>219</v>
      </c>
      <c r="Y112" t="s">
        <v>218</v>
      </c>
      <c r="Z112" t="s">
        <v>218</v>
      </c>
      <c r="AA112" t="s">
        <v>218</v>
      </c>
      <c r="AB112" t="s">
        <v>218</v>
      </c>
      <c r="AC112" t="s">
        <v>218</v>
      </c>
      <c r="AE112" t="s">
        <v>218</v>
      </c>
      <c r="AF112" t="s">
        <v>218</v>
      </c>
      <c r="AG112" t="s">
        <v>218</v>
      </c>
      <c r="AH112" t="s">
        <v>265</v>
      </c>
    </row>
    <row r="113" spans="1:34" x14ac:dyDescent="0.2">
      <c r="A113" t="s">
        <v>76</v>
      </c>
      <c r="B113" t="s">
        <v>266</v>
      </c>
      <c r="C113" t="s">
        <v>256</v>
      </c>
      <c r="D113" t="s">
        <v>256</v>
      </c>
      <c r="E113" t="s">
        <v>267</v>
      </c>
      <c r="F113" t="s">
        <v>155</v>
      </c>
      <c r="G113" t="s">
        <v>218</v>
      </c>
      <c r="H113" t="s">
        <v>85</v>
      </c>
      <c r="I113" t="s">
        <v>626</v>
      </c>
      <c r="J113" t="s">
        <v>177</v>
      </c>
      <c r="K113" t="s">
        <v>115</v>
      </c>
      <c r="L113" t="s">
        <v>259</v>
      </c>
      <c r="M113" t="s">
        <v>218</v>
      </c>
      <c r="O113" s="58">
        <v>5000</v>
      </c>
      <c r="P113">
        <v>0</v>
      </c>
      <c r="Q113">
        <v>0</v>
      </c>
      <c r="R113" t="s">
        <v>261</v>
      </c>
      <c r="S113" s="50">
        <v>44927</v>
      </c>
      <c r="T113" s="50">
        <v>46752</v>
      </c>
      <c r="U113" s="50">
        <v>46752</v>
      </c>
      <c r="V113" t="s">
        <v>218</v>
      </c>
      <c r="Y113" t="s">
        <v>218</v>
      </c>
      <c r="Z113" t="s">
        <v>218</v>
      </c>
      <c r="AA113" t="s">
        <v>218</v>
      </c>
      <c r="AB113" t="s">
        <v>218</v>
      </c>
      <c r="AC113" t="s">
        <v>218</v>
      </c>
      <c r="AE113" t="s">
        <v>294</v>
      </c>
      <c r="AF113" t="s">
        <v>448</v>
      </c>
      <c r="AG113" t="s">
        <v>341</v>
      </c>
      <c r="AH113" t="s">
        <v>265</v>
      </c>
    </row>
    <row r="114" spans="1:34" x14ac:dyDescent="0.2">
      <c r="A114" t="s">
        <v>76</v>
      </c>
      <c r="B114" t="s">
        <v>217</v>
      </c>
      <c r="C114" t="s">
        <v>256</v>
      </c>
      <c r="D114" t="s">
        <v>256</v>
      </c>
      <c r="E114" t="s">
        <v>267</v>
      </c>
      <c r="F114" t="s">
        <v>149</v>
      </c>
      <c r="G114" t="s">
        <v>285</v>
      </c>
      <c r="H114" t="s">
        <v>23</v>
      </c>
      <c r="I114" t="s">
        <v>626</v>
      </c>
      <c r="J114" t="s">
        <v>178</v>
      </c>
      <c r="K114" t="s">
        <v>115</v>
      </c>
      <c r="L114" t="s">
        <v>259</v>
      </c>
      <c r="M114" t="s">
        <v>316</v>
      </c>
      <c r="N114" s="58">
        <v>90000</v>
      </c>
      <c r="O114" s="58">
        <v>18000</v>
      </c>
      <c r="P114">
        <v>2000</v>
      </c>
      <c r="Q114">
        <v>0</v>
      </c>
      <c r="R114" t="s">
        <v>383</v>
      </c>
      <c r="S114" s="50">
        <v>44652</v>
      </c>
      <c r="T114" s="50">
        <v>46752</v>
      </c>
      <c r="U114" s="50">
        <v>46752</v>
      </c>
      <c r="V114" t="s">
        <v>602</v>
      </c>
      <c r="W114" s="50">
        <v>44929</v>
      </c>
      <c r="Y114" t="s">
        <v>26</v>
      </c>
      <c r="Z114" t="s">
        <v>26</v>
      </c>
      <c r="AA114" t="s">
        <v>26</v>
      </c>
      <c r="AB114" t="s">
        <v>27</v>
      </c>
      <c r="AC114" t="s">
        <v>218</v>
      </c>
      <c r="AD114" s="50">
        <v>45818</v>
      </c>
      <c r="AE114" t="s">
        <v>274</v>
      </c>
      <c r="AF114" t="s">
        <v>448</v>
      </c>
      <c r="AG114" t="s">
        <v>341</v>
      </c>
      <c r="AH114" t="s">
        <v>265</v>
      </c>
    </row>
    <row r="115" spans="1:34" x14ac:dyDescent="0.2">
      <c r="A115" t="s">
        <v>449</v>
      </c>
      <c r="B115" t="s">
        <v>217</v>
      </c>
      <c r="C115" t="s">
        <v>282</v>
      </c>
      <c r="D115" t="s">
        <v>695</v>
      </c>
      <c r="E115" t="s">
        <v>276</v>
      </c>
      <c r="F115" t="s">
        <v>218</v>
      </c>
      <c r="G115" t="s">
        <v>218</v>
      </c>
      <c r="H115" t="s">
        <v>20</v>
      </c>
      <c r="I115" t="s">
        <v>637</v>
      </c>
      <c r="J115" t="s">
        <v>218</v>
      </c>
      <c r="K115" t="s">
        <v>218</v>
      </c>
      <c r="L115" t="s">
        <v>259</v>
      </c>
      <c r="M115" t="s">
        <v>218</v>
      </c>
      <c r="P115">
        <v>0</v>
      </c>
      <c r="Q115">
        <v>0</v>
      </c>
      <c r="R115" t="s">
        <v>261</v>
      </c>
      <c r="S115" s="50">
        <v>44378</v>
      </c>
      <c r="T115" s="50">
        <v>44742</v>
      </c>
      <c r="U115" s="50">
        <v>44742</v>
      </c>
      <c r="V115" t="s">
        <v>282</v>
      </c>
      <c r="Y115" t="s">
        <v>218</v>
      </c>
      <c r="Z115" t="s">
        <v>218</v>
      </c>
      <c r="AA115" t="s">
        <v>218</v>
      </c>
      <c r="AB115" t="s">
        <v>218</v>
      </c>
      <c r="AC115" t="s">
        <v>218</v>
      </c>
      <c r="AE115" t="s">
        <v>218</v>
      </c>
      <c r="AF115" t="s">
        <v>450</v>
      </c>
      <c r="AG115" t="s">
        <v>451</v>
      </c>
      <c r="AH115" t="s">
        <v>265</v>
      </c>
    </row>
    <row r="116" spans="1:34" x14ac:dyDescent="0.2">
      <c r="A116" t="s">
        <v>77</v>
      </c>
      <c r="B116" t="s">
        <v>217</v>
      </c>
      <c r="C116" t="s">
        <v>256</v>
      </c>
      <c r="D116" t="s">
        <v>256</v>
      </c>
      <c r="E116" t="s">
        <v>267</v>
      </c>
      <c r="F116" t="s">
        <v>155</v>
      </c>
      <c r="G116" t="s">
        <v>349</v>
      </c>
      <c r="H116" t="s">
        <v>23</v>
      </c>
      <c r="I116" t="s">
        <v>637</v>
      </c>
      <c r="J116" t="s">
        <v>179</v>
      </c>
      <c r="K116" t="s">
        <v>207</v>
      </c>
      <c r="L116" t="s">
        <v>259</v>
      </c>
      <c r="M116" t="s">
        <v>316</v>
      </c>
      <c r="N116" s="58">
        <v>114549</v>
      </c>
      <c r="O116" s="58">
        <v>11455</v>
      </c>
      <c r="P116">
        <v>1178</v>
      </c>
      <c r="Q116">
        <v>0</v>
      </c>
      <c r="R116" t="s">
        <v>383</v>
      </c>
      <c r="S116" s="50">
        <v>45104</v>
      </c>
      <c r="T116" s="50">
        <v>46537</v>
      </c>
      <c r="U116" s="50">
        <v>46537</v>
      </c>
      <c r="V116" t="s">
        <v>602</v>
      </c>
      <c r="W116" s="50">
        <v>45442</v>
      </c>
      <c r="Y116" t="s">
        <v>26</v>
      </c>
      <c r="Z116" t="s">
        <v>26</v>
      </c>
      <c r="AA116" t="s">
        <v>57</v>
      </c>
      <c r="AB116" t="s">
        <v>57</v>
      </c>
      <c r="AC116" t="s">
        <v>218</v>
      </c>
      <c r="AD116" s="50">
        <v>45926</v>
      </c>
      <c r="AE116" t="s">
        <v>274</v>
      </c>
      <c r="AF116" t="s">
        <v>452</v>
      </c>
      <c r="AG116" t="s">
        <v>363</v>
      </c>
      <c r="AH116" t="s">
        <v>265</v>
      </c>
    </row>
    <row r="117" spans="1:34" x14ac:dyDescent="0.2">
      <c r="A117" t="s">
        <v>78</v>
      </c>
      <c r="B117" t="s">
        <v>266</v>
      </c>
      <c r="C117" t="s">
        <v>256</v>
      </c>
      <c r="D117" t="s">
        <v>256</v>
      </c>
      <c r="E117" t="s">
        <v>267</v>
      </c>
      <c r="F117" t="s">
        <v>161</v>
      </c>
      <c r="G117" t="s">
        <v>218</v>
      </c>
      <c r="H117" t="s">
        <v>85</v>
      </c>
      <c r="I117" t="s">
        <v>637</v>
      </c>
      <c r="J117" t="s">
        <v>36</v>
      </c>
      <c r="K117" t="s">
        <v>116</v>
      </c>
      <c r="L117" t="s">
        <v>259</v>
      </c>
      <c r="M117" t="s">
        <v>218</v>
      </c>
      <c r="N117" s="58">
        <v>30000</v>
      </c>
      <c r="P117">
        <v>0</v>
      </c>
      <c r="Q117">
        <v>0</v>
      </c>
      <c r="R117" t="s">
        <v>453</v>
      </c>
      <c r="S117" s="50">
        <v>45630</v>
      </c>
      <c r="T117" s="50">
        <v>47483</v>
      </c>
      <c r="U117" s="50">
        <v>47483</v>
      </c>
      <c r="V117" t="s">
        <v>218</v>
      </c>
      <c r="Y117" t="s">
        <v>218</v>
      </c>
      <c r="Z117" t="s">
        <v>218</v>
      </c>
      <c r="AA117" t="s">
        <v>218</v>
      </c>
      <c r="AB117" t="s">
        <v>218</v>
      </c>
      <c r="AC117" t="s">
        <v>218</v>
      </c>
      <c r="AE117" t="s">
        <v>294</v>
      </c>
      <c r="AF117" t="s">
        <v>454</v>
      </c>
      <c r="AG117" t="s">
        <v>304</v>
      </c>
      <c r="AH117" t="s">
        <v>265</v>
      </c>
    </row>
    <row r="118" spans="1:34" x14ac:dyDescent="0.2">
      <c r="A118" t="s">
        <v>78</v>
      </c>
      <c r="B118" t="s">
        <v>217</v>
      </c>
      <c r="C118" t="s">
        <v>256</v>
      </c>
      <c r="D118" t="s">
        <v>256</v>
      </c>
      <c r="E118" t="s">
        <v>267</v>
      </c>
      <c r="F118" t="s">
        <v>161</v>
      </c>
      <c r="G118" t="s">
        <v>693</v>
      </c>
      <c r="H118" t="s">
        <v>23</v>
      </c>
      <c r="I118" t="s">
        <v>637</v>
      </c>
      <c r="J118" t="s">
        <v>36</v>
      </c>
      <c r="K118" t="s">
        <v>116</v>
      </c>
      <c r="L118" t="s">
        <v>259</v>
      </c>
      <c r="M118" t="s">
        <v>316</v>
      </c>
      <c r="N118" s="58">
        <v>61000</v>
      </c>
      <c r="O118" s="58">
        <v>11741</v>
      </c>
      <c r="P118">
        <v>1357</v>
      </c>
      <c r="Q118">
        <v>200</v>
      </c>
      <c r="R118" t="s">
        <v>261</v>
      </c>
      <c r="S118" s="50">
        <v>44378</v>
      </c>
      <c r="T118" s="50">
        <v>47483</v>
      </c>
      <c r="U118" s="50">
        <v>47483</v>
      </c>
      <c r="V118" t="s">
        <v>219</v>
      </c>
      <c r="Y118" t="s">
        <v>26</v>
      </c>
      <c r="Z118" t="s">
        <v>26</v>
      </c>
      <c r="AA118" t="s">
        <v>607</v>
      </c>
      <c r="AB118" t="s">
        <v>57</v>
      </c>
      <c r="AC118" t="s">
        <v>218</v>
      </c>
      <c r="AD118" s="50">
        <v>45873</v>
      </c>
      <c r="AE118" t="s">
        <v>274</v>
      </c>
      <c r="AF118" t="s">
        <v>454</v>
      </c>
      <c r="AG118" t="s">
        <v>304</v>
      </c>
      <c r="AH118" t="s">
        <v>265</v>
      </c>
    </row>
    <row r="119" spans="1:34" x14ac:dyDescent="0.2">
      <c r="A119" t="s">
        <v>79</v>
      </c>
      <c r="B119" t="s">
        <v>217</v>
      </c>
      <c r="C119" t="s">
        <v>256</v>
      </c>
      <c r="D119" t="s">
        <v>256</v>
      </c>
      <c r="E119" t="s">
        <v>267</v>
      </c>
      <c r="F119" t="s">
        <v>155</v>
      </c>
      <c r="G119" t="s">
        <v>319</v>
      </c>
      <c r="H119" t="s">
        <v>23</v>
      </c>
      <c r="I119" t="s">
        <v>626</v>
      </c>
      <c r="J119" t="s">
        <v>694</v>
      </c>
      <c r="K119" t="s">
        <v>222</v>
      </c>
      <c r="L119" t="s">
        <v>259</v>
      </c>
      <c r="M119" t="s">
        <v>286</v>
      </c>
      <c r="N119" s="58">
        <v>100000</v>
      </c>
      <c r="O119" s="58">
        <v>10000</v>
      </c>
      <c r="P119">
        <v>3400</v>
      </c>
      <c r="Q119">
        <v>0</v>
      </c>
      <c r="R119" t="s">
        <v>323</v>
      </c>
      <c r="S119" s="50">
        <v>44774</v>
      </c>
      <c r="T119" s="50">
        <v>46599</v>
      </c>
      <c r="U119" s="50">
        <v>46599</v>
      </c>
      <c r="V119" t="s">
        <v>218</v>
      </c>
      <c r="Y119" t="s">
        <v>26</v>
      </c>
      <c r="Z119" t="s">
        <v>26</v>
      </c>
      <c r="AA119" t="s">
        <v>57</v>
      </c>
      <c r="AB119" t="s">
        <v>57</v>
      </c>
      <c r="AC119" t="s">
        <v>218</v>
      </c>
      <c r="AD119" s="50">
        <v>45910</v>
      </c>
      <c r="AE119" t="s">
        <v>274</v>
      </c>
      <c r="AF119" t="s">
        <v>455</v>
      </c>
      <c r="AG119" t="s">
        <v>456</v>
      </c>
      <c r="AH119" t="s">
        <v>265</v>
      </c>
    </row>
    <row r="120" spans="1:34" x14ac:dyDescent="0.2">
      <c r="A120" t="s">
        <v>457</v>
      </c>
      <c r="B120" t="s">
        <v>217</v>
      </c>
      <c r="C120" t="s">
        <v>302</v>
      </c>
      <c r="D120" t="s">
        <v>695</v>
      </c>
      <c r="E120" t="s">
        <v>267</v>
      </c>
      <c r="F120" t="s">
        <v>218</v>
      </c>
      <c r="G120" t="s">
        <v>218</v>
      </c>
      <c r="H120" t="s">
        <v>23</v>
      </c>
      <c r="I120" t="s">
        <v>637</v>
      </c>
      <c r="J120" t="s">
        <v>653</v>
      </c>
      <c r="K120" t="s">
        <v>34</v>
      </c>
      <c r="L120" t="s">
        <v>259</v>
      </c>
      <c r="M120" t="s">
        <v>218</v>
      </c>
      <c r="P120">
        <v>2700</v>
      </c>
      <c r="Q120">
        <v>0</v>
      </c>
      <c r="R120" t="s">
        <v>323</v>
      </c>
      <c r="S120" s="50">
        <v>44682</v>
      </c>
      <c r="T120" s="50">
        <v>45444</v>
      </c>
      <c r="U120" s="50">
        <v>45430</v>
      </c>
      <c r="V120" t="s">
        <v>602</v>
      </c>
      <c r="W120" s="50">
        <v>45097</v>
      </c>
      <c r="X120" s="50">
        <v>45444</v>
      </c>
      <c r="Y120" t="s">
        <v>26</v>
      </c>
      <c r="Z120" t="s">
        <v>27</v>
      </c>
      <c r="AA120" t="s">
        <v>57</v>
      </c>
      <c r="AB120" t="s">
        <v>27</v>
      </c>
      <c r="AC120" t="s">
        <v>218</v>
      </c>
      <c r="AD120" s="50">
        <v>45259</v>
      </c>
      <c r="AE120" t="s">
        <v>262</v>
      </c>
      <c r="AF120" t="s">
        <v>458</v>
      </c>
      <c r="AG120" t="s">
        <v>459</v>
      </c>
      <c r="AH120" t="s">
        <v>265</v>
      </c>
    </row>
    <row r="121" spans="1:34" x14ac:dyDescent="0.2">
      <c r="A121" t="s">
        <v>652</v>
      </c>
      <c r="B121" t="s">
        <v>217</v>
      </c>
      <c r="C121" t="s">
        <v>256</v>
      </c>
      <c r="D121" t="s">
        <v>256</v>
      </c>
      <c r="E121" t="s">
        <v>257</v>
      </c>
      <c r="F121" t="s">
        <v>155</v>
      </c>
      <c r="G121" t="s">
        <v>218</v>
      </c>
      <c r="H121" t="s">
        <v>20</v>
      </c>
      <c r="I121" t="s">
        <v>320</v>
      </c>
      <c r="J121" t="s">
        <v>44</v>
      </c>
      <c r="K121" t="s">
        <v>118</v>
      </c>
      <c r="L121" t="s">
        <v>259</v>
      </c>
      <c r="M121" t="s">
        <v>292</v>
      </c>
      <c r="N121" s="58">
        <v>91900</v>
      </c>
      <c r="O121" s="58">
        <v>6990</v>
      </c>
      <c r="P121">
        <v>918</v>
      </c>
      <c r="Q121">
        <v>170</v>
      </c>
      <c r="R121" t="s">
        <v>261</v>
      </c>
      <c r="S121" s="50">
        <v>46009</v>
      </c>
      <c r="T121" s="50">
        <v>46373</v>
      </c>
      <c r="U121" s="50">
        <v>46373</v>
      </c>
      <c r="V121" t="s">
        <v>219</v>
      </c>
      <c r="Y121" t="s">
        <v>26</v>
      </c>
      <c r="Z121" t="s">
        <v>27</v>
      </c>
      <c r="AA121" t="s">
        <v>27</v>
      </c>
      <c r="AB121" t="s">
        <v>27</v>
      </c>
      <c r="AC121" t="s">
        <v>705</v>
      </c>
      <c r="AE121" t="s">
        <v>262</v>
      </c>
      <c r="AF121" t="s">
        <v>218</v>
      </c>
      <c r="AG121" t="s">
        <v>218</v>
      </c>
      <c r="AH121" t="s">
        <v>265</v>
      </c>
    </row>
    <row r="122" spans="1:34" x14ac:dyDescent="0.2">
      <c r="A122" t="s">
        <v>460</v>
      </c>
      <c r="B122" t="s">
        <v>217</v>
      </c>
      <c r="C122" t="s">
        <v>302</v>
      </c>
      <c r="D122" t="s">
        <v>695</v>
      </c>
      <c r="E122" t="s">
        <v>267</v>
      </c>
      <c r="F122" t="s">
        <v>155</v>
      </c>
      <c r="G122" t="s">
        <v>319</v>
      </c>
      <c r="H122" t="s">
        <v>23</v>
      </c>
      <c r="I122" t="s">
        <v>601</v>
      </c>
      <c r="J122" t="s">
        <v>49</v>
      </c>
      <c r="K122" t="s">
        <v>207</v>
      </c>
      <c r="L122" t="s">
        <v>268</v>
      </c>
      <c r="M122" t="s">
        <v>316</v>
      </c>
      <c r="P122">
        <v>910</v>
      </c>
      <c r="Q122">
        <v>0</v>
      </c>
      <c r="R122" t="s">
        <v>323</v>
      </c>
      <c r="S122" s="50">
        <v>44369</v>
      </c>
      <c r="T122" s="50">
        <v>45657</v>
      </c>
      <c r="U122" s="50">
        <v>46194</v>
      </c>
      <c r="V122" t="s">
        <v>218</v>
      </c>
      <c r="X122" s="50">
        <v>45657</v>
      </c>
      <c r="Y122" t="s">
        <v>26</v>
      </c>
      <c r="Z122" t="s">
        <v>26</v>
      </c>
      <c r="AA122" t="s">
        <v>26</v>
      </c>
      <c r="AB122" t="s">
        <v>27</v>
      </c>
      <c r="AC122" t="s">
        <v>218</v>
      </c>
      <c r="AD122" s="50">
        <v>45562</v>
      </c>
      <c r="AE122" t="s">
        <v>307</v>
      </c>
      <c r="AF122" t="s">
        <v>461</v>
      </c>
      <c r="AG122" t="s">
        <v>462</v>
      </c>
      <c r="AH122" t="s">
        <v>265</v>
      </c>
    </row>
    <row r="123" spans="1:34" x14ac:dyDescent="0.2">
      <c r="A123" t="s">
        <v>463</v>
      </c>
      <c r="B123" t="s">
        <v>217</v>
      </c>
      <c r="C123" t="s">
        <v>282</v>
      </c>
      <c r="D123" t="s">
        <v>695</v>
      </c>
      <c r="E123" t="s">
        <v>276</v>
      </c>
      <c r="F123" t="s">
        <v>218</v>
      </c>
      <c r="G123" t="s">
        <v>218</v>
      </c>
      <c r="H123" t="s">
        <v>20</v>
      </c>
      <c r="I123" t="s">
        <v>320</v>
      </c>
      <c r="J123" t="s">
        <v>218</v>
      </c>
      <c r="K123" t="s">
        <v>218</v>
      </c>
      <c r="L123" t="s">
        <v>259</v>
      </c>
      <c r="M123" t="s">
        <v>218</v>
      </c>
      <c r="P123">
        <v>0</v>
      </c>
      <c r="Q123">
        <v>0</v>
      </c>
      <c r="R123" t="s">
        <v>261</v>
      </c>
      <c r="S123" s="50">
        <v>44719</v>
      </c>
      <c r="T123" s="50">
        <v>44834</v>
      </c>
      <c r="U123" s="50">
        <v>44834</v>
      </c>
      <c r="V123" t="s">
        <v>282</v>
      </c>
      <c r="Y123" t="s">
        <v>218</v>
      </c>
      <c r="Z123" t="s">
        <v>218</v>
      </c>
      <c r="AA123" t="s">
        <v>218</v>
      </c>
      <c r="AB123" t="s">
        <v>218</v>
      </c>
      <c r="AC123" t="s">
        <v>218</v>
      </c>
      <c r="AE123" t="s">
        <v>218</v>
      </c>
      <c r="AF123" t="s">
        <v>464</v>
      </c>
      <c r="AG123" t="s">
        <v>325</v>
      </c>
      <c r="AH123" t="s">
        <v>265</v>
      </c>
    </row>
    <row r="124" spans="1:34" x14ac:dyDescent="0.2">
      <c r="A124" t="s">
        <v>214</v>
      </c>
      <c r="B124" t="s">
        <v>217</v>
      </c>
      <c r="C124" t="s">
        <v>256</v>
      </c>
      <c r="D124" t="s">
        <v>256</v>
      </c>
      <c r="E124" t="s">
        <v>257</v>
      </c>
      <c r="F124" t="s">
        <v>155</v>
      </c>
      <c r="G124" t="s">
        <v>218</v>
      </c>
      <c r="H124" t="s">
        <v>20</v>
      </c>
      <c r="I124" t="s">
        <v>626</v>
      </c>
      <c r="J124" t="s">
        <v>177</v>
      </c>
      <c r="K124" t="s">
        <v>207</v>
      </c>
      <c r="L124" t="s">
        <v>259</v>
      </c>
      <c r="M124" t="s">
        <v>276</v>
      </c>
      <c r="N124" s="58">
        <v>35025</v>
      </c>
      <c r="O124" s="58">
        <v>2553</v>
      </c>
      <c r="P124">
        <v>237</v>
      </c>
      <c r="Q124">
        <v>0</v>
      </c>
      <c r="R124" t="s">
        <v>261</v>
      </c>
      <c r="S124" s="50">
        <v>46022</v>
      </c>
      <c r="T124" s="50">
        <v>46387</v>
      </c>
      <c r="U124" s="50">
        <v>46387</v>
      </c>
      <c r="V124" t="s">
        <v>219</v>
      </c>
      <c r="Y124" t="s">
        <v>27</v>
      </c>
      <c r="Z124" t="s">
        <v>27</v>
      </c>
      <c r="AA124" t="s">
        <v>27</v>
      </c>
      <c r="AB124" t="s">
        <v>27</v>
      </c>
      <c r="AC124" t="s">
        <v>218</v>
      </c>
      <c r="AE124" t="s">
        <v>274</v>
      </c>
      <c r="AF124" t="s">
        <v>218</v>
      </c>
      <c r="AG124" t="s">
        <v>278</v>
      </c>
      <c r="AH124" t="s">
        <v>279</v>
      </c>
    </row>
    <row r="125" spans="1:34" x14ac:dyDescent="0.2">
      <c r="A125" t="s">
        <v>80</v>
      </c>
      <c r="B125" t="s">
        <v>217</v>
      </c>
      <c r="C125" t="s">
        <v>256</v>
      </c>
      <c r="D125" t="s">
        <v>256</v>
      </c>
      <c r="E125" t="s">
        <v>257</v>
      </c>
      <c r="F125" t="s">
        <v>161</v>
      </c>
      <c r="G125" t="s">
        <v>614</v>
      </c>
      <c r="H125" t="s">
        <v>23</v>
      </c>
      <c r="I125" t="s">
        <v>637</v>
      </c>
      <c r="J125" t="s">
        <v>179</v>
      </c>
      <c r="K125" t="s">
        <v>222</v>
      </c>
      <c r="L125" t="s">
        <v>259</v>
      </c>
      <c r="M125" t="s">
        <v>292</v>
      </c>
      <c r="N125" s="58">
        <v>70000</v>
      </c>
      <c r="O125" s="58">
        <v>63000</v>
      </c>
      <c r="P125">
        <v>750</v>
      </c>
      <c r="Q125">
        <v>0</v>
      </c>
      <c r="R125" t="s">
        <v>261</v>
      </c>
      <c r="S125" s="50">
        <v>44866</v>
      </c>
      <c r="T125" s="50">
        <v>46142</v>
      </c>
      <c r="U125" s="50">
        <v>46142</v>
      </c>
      <c r="V125" t="s">
        <v>602</v>
      </c>
      <c r="W125" s="50">
        <v>45007</v>
      </c>
      <c r="Y125" t="s">
        <v>26</v>
      </c>
      <c r="Z125" t="s">
        <v>26</v>
      </c>
      <c r="AA125" t="s">
        <v>607</v>
      </c>
      <c r="AB125" t="s">
        <v>26</v>
      </c>
      <c r="AC125" t="s">
        <v>218</v>
      </c>
      <c r="AD125" s="50">
        <v>45965</v>
      </c>
      <c r="AE125" t="s">
        <v>274</v>
      </c>
      <c r="AF125" t="s">
        <v>465</v>
      </c>
      <c r="AG125" t="s">
        <v>466</v>
      </c>
      <c r="AH125" t="s">
        <v>265</v>
      </c>
    </row>
    <row r="126" spans="1:34" x14ac:dyDescent="0.2">
      <c r="A126" t="s">
        <v>81</v>
      </c>
      <c r="B126" t="s">
        <v>217</v>
      </c>
      <c r="C126" t="s">
        <v>256</v>
      </c>
      <c r="D126" t="s">
        <v>256</v>
      </c>
      <c r="E126" t="s">
        <v>267</v>
      </c>
      <c r="F126" t="s">
        <v>161</v>
      </c>
      <c r="G126" t="s">
        <v>349</v>
      </c>
      <c r="H126" t="s">
        <v>23</v>
      </c>
      <c r="I126" t="s">
        <v>626</v>
      </c>
      <c r="J126" t="s">
        <v>179</v>
      </c>
      <c r="K126" t="s">
        <v>117</v>
      </c>
      <c r="L126" t="s">
        <v>259</v>
      </c>
      <c r="M126" t="s">
        <v>286</v>
      </c>
      <c r="N126" s="58">
        <v>104500</v>
      </c>
      <c r="O126" s="58">
        <v>94050</v>
      </c>
      <c r="P126">
        <v>2570</v>
      </c>
      <c r="Q126">
        <v>0</v>
      </c>
      <c r="R126" t="s">
        <v>261</v>
      </c>
      <c r="S126" s="50">
        <v>44835</v>
      </c>
      <c r="T126" s="50">
        <v>46173</v>
      </c>
      <c r="U126" s="50">
        <v>46173</v>
      </c>
      <c r="V126" t="s">
        <v>602</v>
      </c>
      <c r="W126" s="50">
        <v>45048</v>
      </c>
      <c r="Y126" t="s">
        <v>26</v>
      </c>
      <c r="Z126" t="s">
        <v>26</v>
      </c>
      <c r="AA126" t="s">
        <v>57</v>
      </c>
      <c r="AB126" t="s">
        <v>26</v>
      </c>
      <c r="AC126" t="s">
        <v>218</v>
      </c>
      <c r="AD126" s="50">
        <v>45974</v>
      </c>
      <c r="AE126" t="s">
        <v>274</v>
      </c>
      <c r="AF126" t="s">
        <v>467</v>
      </c>
      <c r="AG126" t="s">
        <v>341</v>
      </c>
      <c r="AH126" t="s">
        <v>265</v>
      </c>
    </row>
    <row r="127" spans="1:34" x14ac:dyDescent="0.2">
      <c r="A127" t="s">
        <v>196</v>
      </c>
      <c r="B127" t="s">
        <v>217</v>
      </c>
      <c r="C127" t="s">
        <v>256</v>
      </c>
      <c r="D127" t="s">
        <v>256</v>
      </c>
      <c r="E127" t="s">
        <v>267</v>
      </c>
      <c r="F127" t="s">
        <v>155</v>
      </c>
      <c r="G127" t="s">
        <v>614</v>
      </c>
      <c r="H127" t="s">
        <v>32</v>
      </c>
      <c r="I127" t="s">
        <v>258</v>
      </c>
      <c r="J127" t="s">
        <v>177</v>
      </c>
      <c r="K127" t="s">
        <v>116</v>
      </c>
      <c r="L127" t="s">
        <v>259</v>
      </c>
      <c r="M127" t="s">
        <v>316</v>
      </c>
      <c r="N127" s="58">
        <v>132196</v>
      </c>
      <c r="O127" s="58">
        <v>45000</v>
      </c>
      <c r="P127">
        <v>697</v>
      </c>
      <c r="Q127">
        <v>91</v>
      </c>
      <c r="R127" t="s">
        <v>261</v>
      </c>
      <c r="S127" s="50">
        <v>45091</v>
      </c>
      <c r="T127" s="50">
        <v>47572</v>
      </c>
      <c r="U127" s="50">
        <v>47571</v>
      </c>
      <c r="V127" t="s">
        <v>602</v>
      </c>
      <c r="W127" s="50">
        <v>45741</v>
      </c>
      <c r="Y127" t="s">
        <v>26</v>
      </c>
      <c r="Z127" t="s">
        <v>26</v>
      </c>
      <c r="AA127" t="s">
        <v>57</v>
      </c>
      <c r="AB127" t="s">
        <v>57</v>
      </c>
      <c r="AC127" t="s">
        <v>218</v>
      </c>
      <c r="AD127" s="50">
        <v>45968</v>
      </c>
      <c r="AE127" t="s">
        <v>274</v>
      </c>
      <c r="AF127" t="s">
        <v>468</v>
      </c>
      <c r="AG127" t="s">
        <v>278</v>
      </c>
      <c r="AH127" t="s">
        <v>279</v>
      </c>
    </row>
    <row r="128" spans="1:34" x14ac:dyDescent="0.2">
      <c r="A128" t="s">
        <v>469</v>
      </c>
      <c r="B128" t="s">
        <v>217</v>
      </c>
      <c r="C128" t="s">
        <v>634</v>
      </c>
      <c r="D128" t="s">
        <v>695</v>
      </c>
      <c r="E128" t="s">
        <v>276</v>
      </c>
      <c r="F128" t="s">
        <v>218</v>
      </c>
      <c r="G128" t="s">
        <v>218</v>
      </c>
      <c r="H128" t="s">
        <v>20</v>
      </c>
      <c r="I128" t="s">
        <v>637</v>
      </c>
      <c r="J128" t="s">
        <v>653</v>
      </c>
      <c r="K128" t="s">
        <v>34</v>
      </c>
      <c r="L128" t="s">
        <v>259</v>
      </c>
      <c r="M128" t="s">
        <v>218</v>
      </c>
      <c r="O128" s="58">
        <v>36000</v>
      </c>
      <c r="P128">
        <v>150</v>
      </c>
      <c r="Q128">
        <v>0</v>
      </c>
      <c r="R128" t="s">
        <v>261</v>
      </c>
      <c r="S128" s="50">
        <v>45017</v>
      </c>
      <c r="T128" s="50">
        <v>45199</v>
      </c>
      <c r="U128" s="50">
        <v>45199</v>
      </c>
      <c r="V128" t="s">
        <v>219</v>
      </c>
      <c r="Y128" t="s">
        <v>218</v>
      </c>
      <c r="Z128" t="s">
        <v>218</v>
      </c>
      <c r="AA128" t="s">
        <v>218</v>
      </c>
      <c r="AB128" t="s">
        <v>218</v>
      </c>
      <c r="AC128" t="s">
        <v>218</v>
      </c>
      <c r="AD128" s="50">
        <v>45177</v>
      </c>
      <c r="AE128" t="s">
        <v>294</v>
      </c>
      <c r="AF128" t="s">
        <v>470</v>
      </c>
      <c r="AG128" t="s">
        <v>471</v>
      </c>
      <c r="AH128" t="s">
        <v>265</v>
      </c>
    </row>
    <row r="129" spans="1:34" x14ac:dyDescent="0.2">
      <c r="A129" t="s">
        <v>472</v>
      </c>
      <c r="B129" t="s">
        <v>217</v>
      </c>
      <c r="C129" t="s">
        <v>282</v>
      </c>
      <c r="D129" t="s">
        <v>695</v>
      </c>
      <c r="E129" t="s">
        <v>276</v>
      </c>
      <c r="F129" t="s">
        <v>155</v>
      </c>
      <c r="G129" t="s">
        <v>319</v>
      </c>
      <c r="H129" t="s">
        <v>20</v>
      </c>
      <c r="I129" t="s">
        <v>626</v>
      </c>
      <c r="J129" t="s">
        <v>473</v>
      </c>
      <c r="K129" t="s">
        <v>24</v>
      </c>
      <c r="L129" t="s">
        <v>259</v>
      </c>
      <c r="M129" t="s">
        <v>218</v>
      </c>
      <c r="P129">
        <v>239</v>
      </c>
      <c r="Q129">
        <v>0</v>
      </c>
      <c r="R129" t="s">
        <v>261</v>
      </c>
      <c r="S129" s="50">
        <v>45453</v>
      </c>
      <c r="T129" s="50">
        <v>45657</v>
      </c>
      <c r="U129" s="50">
        <v>45657</v>
      </c>
      <c r="V129" t="s">
        <v>282</v>
      </c>
      <c r="Y129" t="s">
        <v>26</v>
      </c>
      <c r="Z129" t="s">
        <v>26</v>
      </c>
      <c r="AA129" t="s">
        <v>27</v>
      </c>
      <c r="AB129" t="s">
        <v>26</v>
      </c>
      <c r="AC129" t="s">
        <v>218</v>
      </c>
      <c r="AD129" s="50">
        <v>45546</v>
      </c>
      <c r="AE129" t="s">
        <v>274</v>
      </c>
      <c r="AF129" t="s">
        <v>474</v>
      </c>
      <c r="AG129" t="s">
        <v>322</v>
      </c>
      <c r="AH129" t="s">
        <v>265</v>
      </c>
    </row>
    <row r="130" spans="1:34" x14ac:dyDescent="0.2">
      <c r="A130" t="s">
        <v>475</v>
      </c>
      <c r="B130" t="s">
        <v>217</v>
      </c>
      <c r="C130" t="s">
        <v>282</v>
      </c>
      <c r="D130" t="s">
        <v>695</v>
      </c>
      <c r="E130" t="s">
        <v>276</v>
      </c>
      <c r="F130" t="s">
        <v>155</v>
      </c>
      <c r="G130" t="s">
        <v>218</v>
      </c>
      <c r="H130" t="s">
        <v>20</v>
      </c>
      <c r="I130" t="s">
        <v>626</v>
      </c>
      <c r="J130" t="s">
        <v>653</v>
      </c>
      <c r="K130" t="s">
        <v>34</v>
      </c>
      <c r="L130" t="s">
        <v>259</v>
      </c>
      <c r="M130" t="s">
        <v>218</v>
      </c>
      <c r="P130">
        <v>125</v>
      </c>
      <c r="Q130">
        <v>0</v>
      </c>
      <c r="R130" t="s">
        <v>261</v>
      </c>
      <c r="S130" s="50">
        <v>45282</v>
      </c>
      <c r="T130" s="50">
        <v>45464</v>
      </c>
      <c r="U130" s="50">
        <v>45464</v>
      </c>
      <c r="V130" t="s">
        <v>282</v>
      </c>
      <c r="Y130" t="s">
        <v>26</v>
      </c>
      <c r="Z130" t="s">
        <v>26</v>
      </c>
      <c r="AA130" t="s">
        <v>57</v>
      </c>
      <c r="AB130" t="s">
        <v>26</v>
      </c>
      <c r="AC130" t="s">
        <v>218</v>
      </c>
      <c r="AD130" s="50">
        <v>45513</v>
      </c>
      <c r="AE130" t="s">
        <v>294</v>
      </c>
      <c r="AF130" t="s">
        <v>476</v>
      </c>
      <c r="AG130" t="s">
        <v>345</v>
      </c>
      <c r="AH130" t="s">
        <v>265</v>
      </c>
    </row>
    <row r="131" spans="1:34" x14ac:dyDescent="0.2">
      <c r="A131" t="s">
        <v>477</v>
      </c>
      <c r="B131" t="s">
        <v>217</v>
      </c>
      <c r="C131" t="s">
        <v>282</v>
      </c>
      <c r="D131" t="s">
        <v>695</v>
      </c>
      <c r="E131" t="s">
        <v>276</v>
      </c>
      <c r="F131" t="s">
        <v>218</v>
      </c>
      <c r="G131" t="s">
        <v>218</v>
      </c>
      <c r="H131" t="s">
        <v>20</v>
      </c>
      <c r="I131" t="s">
        <v>320</v>
      </c>
      <c r="J131" t="s">
        <v>218</v>
      </c>
      <c r="K131" t="s">
        <v>218</v>
      </c>
      <c r="L131" t="s">
        <v>259</v>
      </c>
      <c r="M131" t="s">
        <v>218</v>
      </c>
      <c r="P131">
        <v>0</v>
      </c>
      <c r="Q131">
        <v>0</v>
      </c>
      <c r="R131" t="s">
        <v>261</v>
      </c>
      <c r="S131" s="50">
        <v>44835</v>
      </c>
      <c r="T131" s="50">
        <v>45016</v>
      </c>
      <c r="U131" s="50">
        <v>45016</v>
      </c>
      <c r="V131" t="s">
        <v>282</v>
      </c>
      <c r="Y131" t="s">
        <v>218</v>
      </c>
      <c r="Z131" t="s">
        <v>218</v>
      </c>
      <c r="AA131" t="s">
        <v>218</v>
      </c>
      <c r="AB131" t="s">
        <v>218</v>
      </c>
      <c r="AC131" t="s">
        <v>218</v>
      </c>
      <c r="AE131" t="s">
        <v>218</v>
      </c>
      <c r="AF131" t="s">
        <v>478</v>
      </c>
      <c r="AG131" t="s">
        <v>325</v>
      </c>
      <c r="AH131" t="s">
        <v>265</v>
      </c>
    </row>
    <row r="132" spans="1:34" x14ac:dyDescent="0.2">
      <c r="A132" t="s">
        <v>197</v>
      </c>
      <c r="B132" t="s">
        <v>266</v>
      </c>
      <c r="C132" t="s">
        <v>256</v>
      </c>
      <c r="D132" t="s">
        <v>256</v>
      </c>
      <c r="E132" t="s">
        <v>267</v>
      </c>
      <c r="F132" t="s">
        <v>155</v>
      </c>
      <c r="G132" t="s">
        <v>218</v>
      </c>
      <c r="H132" t="s">
        <v>85</v>
      </c>
      <c r="I132" t="s">
        <v>637</v>
      </c>
      <c r="J132" t="s">
        <v>694</v>
      </c>
      <c r="K132" t="s">
        <v>118</v>
      </c>
      <c r="L132" t="s">
        <v>259</v>
      </c>
      <c r="M132" t="s">
        <v>218</v>
      </c>
      <c r="N132" s="58">
        <v>0</v>
      </c>
      <c r="P132">
        <v>0</v>
      </c>
      <c r="Q132">
        <v>0</v>
      </c>
      <c r="R132" t="s">
        <v>383</v>
      </c>
      <c r="S132" s="50">
        <v>45762</v>
      </c>
      <c r="T132" s="50">
        <v>47222</v>
      </c>
      <c r="U132" s="50">
        <v>47222</v>
      </c>
      <c r="V132" t="s">
        <v>218</v>
      </c>
      <c r="Y132" t="s">
        <v>218</v>
      </c>
      <c r="Z132" t="s">
        <v>218</v>
      </c>
      <c r="AA132" t="s">
        <v>218</v>
      </c>
      <c r="AB132" t="s">
        <v>218</v>
      </c>
      <c r="AC132" t="s">
        <v>218</v>
      </c>
      <c r="AE132" t="s">
        <v>294</v>
      </c>
      <c r="AF132" t="s">
        <v>479</v>
      </c>
      <c r="AG132" t="s">
        <v>371</v>
      </c>
      <c r="AH132" t="s">
        <v>265</v>
      </c>
    </row>
    <row r="133" spans="1:34" x14ac:dyDescent="0.2">
      <c r="A133" t="s">
        <v>197</v>
      </c>
      <c r="B133" t="s">
        <v>217</v>
      </c>
      <c r="C133" t="s">
        <v>256</v>
      </c>
      <c r="D133" t="s">
        <v>256</v>
      </c>
      <c r="E133" t="s">
        <v>267</v>
      </c>
      <c r="F133" t="s">
        <v>149</v>
      </c>
      <c r="G133" t="s">
        <v>614</v>
      </c>
      <c r="H133" t="s">
        <v>23</v>
      </c>
      <c r="I133" t="s">
        <v>637</v>
      </c>
      <c r="J133" t="s">
        <v>694</v>
      </c>
      <c r="K133" t="s">
        <v>118</v>
      </c>
      <c r="L133" t="s">
        <v>259</v>
      </c>
      <c r="M133" t="s">
        <v>292</v>
      </c>
      <c r="N133" s="58">
        <v>99000</v>
      </c>
      <c r="O133" s="58">
        <v>64000</v>
      </c>
      <c r="P133">
        <v>563</v>
      </c>
      <c r="Q133">
        <v>63</v>
      </c>
      <c r="R133" t="s">
        <v>383</v>
      </c>
      <c r="S133" s="50">
        <v>45017</v>
      </c>
      <c r="T133" s="50">
        <v>47222</v>
      </c>
      <c r="U133" s="50">
        <v>47222</v>
      </c>
      <c r="V133" t="s">
        <v>602</v>
      </c>
      <c r="W133" s="50">
        <v>45775</v>
      </c>
      <c r="Y133" t="s">
        <v>26</v>
      </c>
      <c r="Z133" t="s">
        <v>27</v>
      </c>
      <c r="AA133" t="s">
        <v>27</v>
      </c>
      <c r="AB133" t="s">
        <v>27</v>
      </c>
      <c r="AC133" t="s">
        <v>218</v>
      </c>
      <c r="AD133" s="50">
        <v>45985</v>
      </c>
      <c r="AE133" t="s">
        <v>274</v>
      </c>
      <c r="AF133" t="s">
        <v>479</v>
      </c>
      <c r="AG133" t="s">
        <v>371</v>
      </c>
      <c r="AH133" t="s">
        <v>265</v>
      </c>
    </row>
    <row r="134" spans="1:34" x14ac:dyDescent="0.2">
      <c r="A134" t="s">
        <v>480</v>
      </c>
      <c r="B134" t="s">
        <v>217</v>
      </c>
      <c r="C134" t="s">
        <v>282</v>
      </c>
      <c r="D134" t="s">
        <v>695</v>
      </c>
      <c r="E134" t="s">
        <v>276</v>
      </c>
      <c r="F134" t="s">
        <v>218</v>
      </c>
      <c r="G134" t="s">
        <v>218</v>
      </c>
      <c r="H134" t="s">
        <v>20</v>
      </c>
      <c r="I134" t="s">
        <v>626</v>
      </c>
      <c r="J134" t="s">
        <v>309</v>
      </c>
      <c r="K134" t="s">
        <v>310</v>
      </c>
      <c r="L134" t="s">
        <v>268</v>
      </c>
      <c r="M134" t="s">
        <v>218</v>
      </c>
      <c r="P134">
        <v>139</v>
      </c>
      <c r="Q134">
        <v>0</v>
      </c>
      <c r="R134" t="s">
        <v>261</v>
      </c>
      <c r="S134" s="50">
        <v>44805</v>
      </c>
      <c r="T134" s="50">
        <v>44960</v>
      </c>
      <c r="U134" s="50">
        <v>44960</v>
      </c>
      <c r="V134" t="s">
        <v>282</v>
      </c>
      <c r="Y134" t="s">
        <v>218</v>
      </c>
      <c r="Z134" t="s">
        <v>218</v>
      </c>
      <c r="AA134" t="s">
        <v>218</v>
      </c>
      <c r="AB134" t="s">
        <v>218</v>
      </c>
      <c r="AC134" t="s">
        <v>218</v>
      </c>
      <c r="AE134" t="s">
        <v>218</v>
      </c>
      <c r="AF134" t="s">
        <v>481</v>
      </c>
      <c r="AG134" t="s">
        <v>456</v>
      </c>
      <c r="AH134" t="s">
        <v>265</v>
      </c>
    </row>
    <row r="135" spans="1:34" x14ac:dyDescent="0.2">
      <c r="A135" t="s">
        <v>708</v>
      </c>
      <c r="B135" t="s">
        <v>217</v>
      </c>
      <c r="C135" t="s">
        <v>256</v>
      </c>
      <c r="D135" t="s">
        <v>256</v>
      </c>
      <c r="E135" t="s">
        <v>267</v>
      </c>
      <c r="F135" t="s">
        <v>144</v>
      </c>
      <c r="G135" t="s">
        <v>218</v>
      </c>
      <c r="H135" t="s">
        <v>20</v>
      </c>
      <c r="I135" t="s">
        <v>601</v>
      </c>
      <c r="J135" t="s">
        <v>69</v>
      </c>
      <c r="K135" t="s">
        <v>119</v>
      </c>
      <c r="L135" t="s">
        <v>268</v>
      </c>
      <c r="M135" t="s">
        <v>273</v>
      </c>
      <c r="N135" s="58">
        <v>270000</v>
      </c>
      <c r="P135">
        <v>0</v>
      </c>
      <c r="Q135">
        <v>0</v>
      </c>
      <c r="R135" t="s">
        <v>323</v>
      </c>
      <c r="S135" s="50">
        <v>46112</v>
      </c>
      <c r="T135" s="50">
        <v>47207</v>
      </c>
      <c r="U135" s="50">
        <v>47207</v>
      </c>
      <c r="V135" t="s">
        <v>218</v>
      </c>
      <c r="Y135" t="s">
        <v>218</v>
      </c>
      <c r="Z135" t="s">
        <v>218</v>
      </c>
      <c r="AA135" t="s">
        <v>218</v>
      </c>
      <c r="AB135" t="s">
        <v>218</v>
      </c>
      <c r="AC135" t="s">
        <v>218</v>
      </c>
      <c r="AE135" t="s">
        <v>262</v>
      </c>
      <c r="AF135" t="s">
        <v>218</v>
      </c>
      <c r="AG135" t="s">
        <v>218</v>
      </c>
      <c r="AH135" t="s">
        <v>265</v>
      </c>
    </row>
    <row r="136" spans="1:34" x14ac:dyDescent="0.2">
      <c r="A136" t="s">
        <v>82</v>
      </c>
      <c r="B136" t="s">
        <v>217</v>
      </c>
      <c r="C136" t="s">
        <v>256</v>
      </c>
      <c r="D136" t="s">
        <v>256</v>
      </c>
      <c r="E136" t="s">
        <v>267</v>
      </c>
      <c r="F136" t="s">
        <v>161</v>
      </c>
      <c r="G136" t="s">
        <v>614</v>
      </c>
      <c r="H136" t="s">
        <v>23</v>
      </c>
      <c r="I136" t="s">
        <v>320</v>
      </c>
      <c r="J136" t="s">
        <v>178</v>
      </c>
      <c r="K136" t="s">
        <v>207</v>
      </c>
      <c r="L136" t="s">
        <v>259</v>
      </c>
      <c r="M136" t="s">
        <v>260</v>
      </c>
      <c r="N136" s="58">
        <v>29009</v>
      </c>
      <c r="P136">
        <v>250</v>
      </c>
      <c r="Q136">
        <v>0</v>
      </c>
      <c r="R136" t="s">
        <v>261</v>
      </c>
      <c r="S136" s="50">
        <v>45352</v>
      </c>
      <c r="T136" s="50">
        <v>47542</v>
      </c>
      <c r="U136" s="50">
        <v>47542</v>
      </c>
      <c r="V136" t="s">
        <v>602</v>
      </c>
      <c r="W136" s="50">
        <v>45717</v>
      </c>
      <c r="Y136" t="s">
        <v>57</v>
      </c>
      <c r="Z136" t="s">
        <v>57</v>
      </c>
      <c r="AA136" t="s">
        <v>57</v>
      </c>
      <c r="AB136" t="s">
        <v>57</v>
      </c>
      <c r="AC136" t="s">
        <v>218</v>
      </c>
      <c r="AD136" s="50">
        <v>45517</v>
      </c>
      <c r="AE136" t="s">
        <v>274</v>
      </c>
      <c r="AF136" t="s">
        <v>482</v>
      </c>
      <c r="AG136" t="s">
        <v>339</v>
      </c>
      <c r="AH136" t="s">
        <v>265</v>
      </c>
    </row>
    <row r="137" spans="1:34" x14ac:dyDescent="0.2">
      <c r="A137" t="s">
        <v>483</v>
      </c>
      <c r="B137" t="s">
        <v>217</v>
      </c>
      <c r="C137" t="s">
        <v>282</v>
      </c>
      <c r="D137" t="s">
        <v>695</v>
      </c>
      <c r="E137" t="s">
        <v>276</v>
      </c>
      <c r="F137" t="s">
        <v>218</v>
      </c>
      <c r="G137" t="s">
        <v>218</v>
      </c>
      <c r="H137" t="s">
        <v>20</v>
      </c>
      <c r="I137" t="s">
        <v>637</v>
      </c>
      <c r="J137" t="s">
        <v>218</v>
      </c>
      <c r="K137" t="s">
        <v>218</v>
      </c>
      <c r="L137" t="s">
        <v>259</v>
      </c>
      <c r="M137" t="s">
        <v>218</v>
      </c>
      <c r="P137">
        <v>0</v>
      </c>
      <c r="Q137">
        <v>0</v>
      </c>
      <c r="R137" t="s">
        <v>261</v>
      </c>
      <c r="S137" s="50">
        <v>44743</v>
      </c>
      <c r="T137" s="50">
        <v>44887</v>
      </c>
      <c r="U137" s="50">
        <v>44887</v>
      </c>
      <c r="V137" t="s">
        <v>282</v>
      </c>
      <c r="Y137" t="s">
        <v>218</v>
      </c>
      <c r="Z137" t="s">
        <v>218</v>
      </c>
      <c r="AA137" t="s">
        <v>218</v>
      </c>
      <c r="AB137" t="s">
        <v>218</v>
      </c>
      <c r="AC137" t="s">
        <v>218</v>
      </c>
      <c r="AE137" t="s">
        <v>218</v>
      </c>
      <c r="AF137" t="s">
        <v>484</v>
      </c>
      <c r="AG137" t="s">
        <v>485</v>
      </c>
      <c r="AH137" t="s">
        <v>265</v>
      </c>
    </row>
    <row r="138" spans="1:34" x14ac:dyDescent="0.2">
      <c r="A138" t="s">
        <v>223</v>
      </c>
      <c r="B138" t="s">
        <v>217</v>
      </c>
      <c r="C138" t="s">
        <v>256</v>
      </c>
      <c r="D138" t="s">
        <v>256</v>
      </c>
      <c r="E138" t="s">
        <v>257</v>
      </c>
      <c r="F138" t="s">
        <v>149</v>
      </c>
      <c r="G138" t="s">
        <v>614</v>
      </c>
      <c r="H138" t="s">
        <v>20</v>
      </c>
      <c r="I138" t="s">
        <v>626</v>
      </c>
      <c r="J138" t="s">
        <v>69</v>
      </c>
      <c r="K138" t="s">
        <v>118</v>
      </c>
      <c r="L138" t="s">
        <v>259</v>
      </c>
      <c r="M138" t="s">
        <v>260</v>
      </c>
      <c r="N138" s="58">
        <v>50000</v>
      </c>
      <c r="O138" s="58">
        <v>100000</v>
      </c>
      <c r="P138">
        <v>491</v>
      </c>
      <c r="Q138">
        <v>0</v>
      </c>
      <c r="R138" t="s">
        <v>261</v>
      </c>
      <c r="S138" s="50">
        <v>45808</v>
      </c>
      <c r="T138" s="50">
        <v>46173</v>
      </c>
      <c r="U138" s="50">
        <v>46174</v>
      </c>
      <c r="V138" t="s">
        <v>219</v>
      </c>
      <c r="Y138" t="s">
        <v>218</v>
      </c>
      <c r="Z138" t="s">
        <v>218</v>
      </c>
      <c r="AA138" t="s">
        <v>607</v>
      </c>
      <c r="AB138" t="s">
        <v>218</v>
      </c>
      <c r="AC138" t="s">
        <v>218</v>
      </c>
      <c r="AD138" s="50">
        <v>45952</v>
      </c>
      <c r="AE138" t="s">
        <v>294</v>
      </c>
      <c r="AF138" t="s">
        <v>640</v>
      </c>
      <c r="AG138" t="s">
        <v>345</v>
      </c>
      <c r="AH138" t="s">
        <v>265</v>
      </c>
    </row>
    <row r="139" spans="1:34" x14ac:dyDescent="0.2">
      <c r="A139" t="s">
        <v>673</v>
      </c>
      <c r="B139" t="s">
        <v>217</v>
      </c>
      <c r="C139" t="s">
        <v>606</v>
      </c>
      <c r="D139" t="s">
        <v>695</v>
      </c>
      <c r="E139" t="s">
        <v>276</v>
      </c>
      <c r="F139" t="s">
        <v>144</v>
      </c>
      <c r="G139" t="s">
        <v>218</v>
      </c>
      <c r="H139" t="s">
        <v>20</v>
      </c>
      <c r="I139" t="s">
        <v>258</v>
      </c>
      <c r="J139" t="s">
        <v>60</v>
      </c>
      <c r="K139" t="s">
        <v>116</v>
      </c>
      <c r="L139" t="s">
        <v>268</v>
      </c>
      <c r="M139" t="s">
        <v>218</v>
      </c>
      <c r="O139" s="58">
        <v>450000</v>
      </c>
      <c r="P139">
        <v>230</v>
      </c>
      <c r="Q139">
        <v>0</v>
      </c>
      <c r="R139" t="s">
        <v>261</v>
      </c>
      <c r="S139" s="50">
        <v>44805</v>
      </c>
      <c r="T139" s="50">
        <v>44957</v>
      </c>
      <c r="U139" s="50">
        <v>44957</v>
      </c>
      <c r="V139" t="s">
        <v>219</v>
      </c>
      <c r="Y139" t="s">
        <v>26</v>
      </c>
      <c r="Z139" t="s">
        <v>26</v>
      </c>
      <c r="AA139" t="s">
        <v>607</v>
      </c>
      <c r="AB139" t="s">
        <v>57</v>
      </c>
      <c r="AC139" t="s">
        <v>218</v>
      </c>
      <c r="AE139" t="s">
        <v>262</v>
      </c>
      <c r="AF139" t="s">
        <v>674</v>
      </c>
      <c r="AG139" t="s">
        <v>278</v>
      </c>
      <c r="AH139" t="s">
        <v>492</v>
      </c>
    </row>
    <row r="140" spans="1:34" x14ac:dyDescent="0.2">
      <c r="A140" t="s">
        <v>84</v>
      </c>
      <c r="B140" t="s">
        <v>217</v>
      </c>
      <c r="C140" t="s">
        <v>256</v>
      </c>
      <c r="D140" t="s">
        <v>256</v>
      </c>
      <c r="E140" t="s">
        <v>267</v>
      </c>
      <c r="F140" t="s">
        <v>144</v>
      </c>
      <c r="G140" t="s">
        <v>349</v>
      </c>
      <c r="H140" t="s">
        <v>32</v>
      </c>
      <c r="I140" t="s">
        <v>611</v>
      </c>
      <c r="J140" t="s">
        <v>60</v>
      </c>
      <c r="K140" t="s">
        <v>25</v>
      </c>
      <c r="L140" t="s">
        <v>268</v>
      </c>
      <c r="M140" t="s">
        <v>292</v>
      </c>
      <c r="N140" s="58">
        <v>578125</v>
      </c>
      <c r="P140">
        <v>8197</v>
      </c>
      <c r="Q140">
        <v>0</v>
      </c>
      <c r="R140" t="s">
        <v>323</v>
      </c>
      <c r="S140" s="50">
        <v>44039</v>
      </c>
      <c r="T140" s="50">
        <v>46461</v>
      </c>
      <c r="U140" s="50">
        <v>46461</v>
      </c>
      <c r="V140" t="s">
        <v>602</v>
      </c>
      <c r="W140" s="50">
        <v>44694</v>
      </c>
      <c r="Y140" t="s">
        <v>26</v>
      </c>
      <c r="Z140" t="s">
        <v>57</v>
      </c>
      <c r="AA140" t="s">
        <v>57</v>
      </c>
      <c r="AB140" t="s">
        <v>57</v>
      </c>
      <c r="AC140" t="s">
        <v>86</v>
      </c>
      <c r="AD140" s="50">
        <v>45905</v>
      </c>
      <c r="AE140" t="s">
        <v>274</v>
      </c>
      <c r="AF140" t="s">
        <v>486</v>
      </c>
      <c r="AG140" t="s">
        <v>487</v>
      </c>
      <c r="AH140" t="s">
        <v>265</v>
      </c>
    </row>
    <row r="141" spans="1:34" x14ac:dyDescent="0.2">
      <c r="A141" t="s">
        <v>488</v>
      </c>
      <c r="B141" t="s">
        <v>217</v>
      </c>
      <c r="C141" t="s">
        <v>634</v>
      </c>
      <c r="D141" t="s">
        <v>695</v>
      </c>
      <c r="E141" t="s">
        <v>257</v>
      </c>
      <c r="F141" t="s">
        <v>155</v>
      </c>
      <c r="G141" t="s">
        <v>285</v>
      </c>
      <c r="H141" t="s">
        <v>20</v>
      </c>
      <c r="I141" t="s">
        <v>258</v>
      </c>
      <c r="J141" t="s">
        <v>69</v>
      </c>
      <c r="K141" t="s">
        <v>310</v>
      </c>
      <c r="L141" t="s">
        <v>268</v>
      </c>
      <c r="M141" t="s">
        <v>218</v>
      </c>
      <c r="O141" s="58">
        <v>125000</v>
      </c>
      <c r="P141">
        <v>0</v>
      </c>
      <c r="Q141">
        <v>0</v>
      </c>
      <c r="R141" t="s">
        <v>261</v>
      </c>
      <c r="S141" s="50">
        <v>45327</v>
      </c>
      <c r="T141" s="50">
        <v>45720</v>
      </c>
      <c r="U141" s="50">
        <v>45692</v>
      </c>
      <c r="V141" t="s">
        <v>219</v>
      </c>
      <c r="Y141" t="s">
        <v>26</v>
      </c>
      <c r="Z141" t="s">
        <v>57</v>
      </c>
      <c r="AA141" t="s">
        <v>57</v>
      </c>
      <c r="AB141" t="s">
        <v>26</v>
      </c>
      <c r="AC141" t="s">
        <v>218</v>
      </c>
      <c r="AD141" s="50">
        <v>45433</v>
      </c>
      <c r="AE141" t="s">
        <v>274</v>
      </c>
      <c r="AF141" t="s">
        <v>489</v>
      </c>
      <c r="AG141" t="s">
        <v>278</v>
      </c>
      <c r="AH141" t="s">
        <v>279</v>
      </c>
    </row>
    <row r="142" spans="1:34" x14ac:dyDescent="0.2">
      <c r="A142" t="s">
        <v>490</v>
      </c>
      <c r="B142" t="s">
        <v>217</v>
      </c>
      <c r="C142" t="s">
        <v>282</v>
      </c>
      <c r="D142" t="s">
        <v>695</v>
      </c>
      <c r="E142" t="s">
        <v>276</v>
      </c>
      <c r="F142" t="s">
        <v>155</v>
      </c>
      <c r="G142" t="s">
        <v>218</v>
      </c>
      <c r="H142" t="s">
        <v>23</v>
      </c>
      <c r="I142" t="s">
        <v>654</v>
      </c>
      <c r="J142" t="s">
        <v>382</v>
      </c>
      <c r="K142" t="s">
        <v>24</v>
      </c>
      <c r="L142" t="s">
        <v>259</v>
      </c>
      <c r="M142" t="s">
        <v>218</v>
      </c>
      <c r="P142">
        <v>125</v>
      </c>
      <c r="Q142">
        <v>0</v>
      </c>
      <c r="R142" t="s">
        <v>261</v>
      </c>
      <c r="S142" s="50">
        <v>45170</v>
      </c>
      <c r="T142" s="50">
        <v>45351</v>
      </c>
      <c r="U142" s="50">
        <v>45351</v>
      </c>
      <c r="V142" t="s">
        <v>282</v>
      </c>
      <c r="Y142" t="s">
        <v>26</v>
      </c>
      <c r="Z142" t="s">
        <v>26</v>
      </c>
      <c r="AA142" t="s">
        <v>57</v>
      </c>
      <c r="AB142" t="s">
        <v>57</v>
      </c>
      <c r="AC142" t="s">
        <v>218</v>
      </c>
      <c r="AD142" s="50">
        <v>45400</v>
      </c>
      <c r="AE142" t="s">
        <v>274</v>
      </c>
      <c r="AF142" t="s">
        <v>491</v>
      </c>
      <c r="AG142" t="s">
        <v>278</v>
      </c>
      <c r="AH142" t="s">
        <v>492</v>
      </c>
    </row>
    <row r="143" spans="1:34" x14ac:dyDescent="0.2">
      <c r="A143" t="s">
        <v>493</v>
      </c>
      <c r="B143" t="s">
        <v>217</v>
      </c>
      <c r="C143" t="s">
        <v>282</v>
      </c>
      <c r="D143" t="s">
        <v>695</v>
      </c>
      <c r="E143" t="s">
        <v>276</v>
      </c>
      <c r="F143" t="s">
        <v>218</v>
      </c>
      <c r="G143" t="s">
        <v>218</v>
      </c>
      <c r="H143" t="s">
        <v>20</v>
      </c>
      <c r="I143" t="s">
        <v>670</v>
      </c>
      <c r="J143" t="s">
        <v>218</v>
      </c>
      <c r="K143" t="s">
        <v>218</v>
      </c>
      <c r="L143" t="s">
        <v>268</v>
      </c>
      <c r="M143" t="s">
        <v>218</v>
      </c>
      <c r="P143">
        <v>0</v>
      </c>
      <c r="Q143">
        <v>0</v>
      </c>
      <c r="R143" t="s">
        <v>261</v>
      </c>
      <c r="S143" s="50">
        <v>44621</v>
      </c>
      <c r="T143" s="50">
        <v>44926</v>
      </c>
      <c r="U143" s="50">
        <v>44926</v>
      </c>
      <c r="V143" t="s">
        <v>282</v>
      </c>
      <c r="Y143" t="s">
        <v>218</v>
      </c>
      <c r="Z143" t="s">
        <v>218</v>
      </c>
      <c r="AA143" t="s">
        <v>218</v>
      </c>
      <c r="AB143" t="s">
        <v>218</v>
      </c>
      <c r="AC143" t="s">
        <v>218</v>
      </c>
      <c r="AE143" t="s">
        <v>218</v>
      </c>
      <c r="AF143" t="s">
        <v>494</v>
      </c>
      <c r="AG143" t="s">
        <v>278</v>
      </c>
      <c r="AH143" t="s">
        <v>409</v>
      </c>
    </row>
    <row r="144" spans="1:34" x14ac:dyDescent="0.2">
      <c r="A144" t="s">
        <v>495</v>
      </c>
      <c r="B144" t="s">
        <v>217</v>
      </c>
      <c r="C144" t="s">
        <v>282</v>
      </c>
      <c r="D144" t="s">
        <v>695</v>
      </c>
      <c r="E144" t="s">
        <v>276</v>
      </c>
      <c r="F144" t="s">
        <v>218</v>
      </c>
      <c r="G144" t="s">
        <v>218</v>
      </c>
      <c r="H144" t="s">
        <v>20</v>
      </c>
      <c r="I144" t="s">
        <v>320</v>
      </c>
      <c r="J144" t="s">
        <v>218</v>
      </c>
      <c r="K144" t="s">
        <v>218</v>
      </c>
      <c r="L144" t="s">
        <v>259</v>
      </c>
      <c r="M144" t="s">
        <v>218</v>
      </c>
      <c r="P144">
        <v>0</v>
      </c>
      <c r="Q144">
        <v>0</v>
      </c>
      <c r="R144" t="s">
        <v>261</v>
      </c>
      <c r="S144" s="50">
        <v>44927</v>
      </c>
      <c r="T144" s="50">
        <v>45016</v>
      </c>
      <c r="U144" s="50">
        <v>45016</v>
      </c>
      <c r="V144" t="s">
        <v>282</v>
      </c>
      <c r="Y144" t="s">
        <v>218</v>
      </c>
      <c r="Z144" t="s">
        <v>218</v>
      </c>
      <c r="AA144" t="s">
        <v>218</v>
      </c>
      <c r="AB144" t="s">
        <v>218</v>
      </c>
      <c r="AC144" t="s">
        <v>218</v>
      </c>
      <c r="AE144" t="s">
        <v>218</v>
      </c>
      <c r="AF144" t="s">
        <v>496</v>
      </c>
      <c r="AG144" t="s">
        <v>347</v>
      </c>
      <c r="AH144" t="s">
        <v>265</v>
      </c>
    </row>
    <row r="145" spans="1:34" x14ac:dyDescent="0.2">
      <c r="A145" t="s">
        <v>497</v>
      </c>
      <c r="B145" t="s">
        <v>217</v>
      </c>
      <c r="C145" t="s">
        <v>634</v>
      </c>
      <c r="D145" t="s">
        <v>695</v>
      </c>
      <c r="E145" t="s">
        <v>276</v>
      </c>
      <c r="F145" t="s">
        <v>155</v>
      </c>
      <c r="G145" t="s">
        <v>218</v>
      </c>
      <c r="H145" t="s">
        <v>23</v>
      </c>
      <c r="I145" t="s">
        <v>258</v>
      </c>
      <c r="J145" t="s">
        <v>655</v>
      </c>
      <c r="K145" t="s">
        <v>117</v>
      </c>
      <c r="L145" t="s">
        <v>268</v>
      </c>
      <c r="M145" t="s">
        <v>218</v>
      </c>
      <c r="O145" s="58">
        <v>236563</v>
      </c>
      <c r="P145">
        <v>302</v>
      </c>
      <c r="Q145">
        <v>0</v>
      </c>
      <c r="R145" t="s">
        <v>261</v>
      </c>
      <c r="S145" s="50">
        <v>45127</v>
      </c>
      <c r="T145" s="50">
        <v>45254</v>
      </c>
      <c r="U145" s="50">
        <v>45254</v>
      </c>
      <c r="V145" t="s">
        <v>219</v>
      </c>
      <c r="Y145" t="s">
        <v>26</v>
      </c>
      <c r="Z145" t="s">
        <v>26</v>
      </c>
      <c r="AA145" t="s">
        <v>57</v>
      </c>
      <c r="AB145" t="s">
        <v>57</v>
      </c>
      <c r="AC145" t="s">
        <v>218</v>
      </c>
      <c r="AD145" s="50">
        <v>45268</v>
      </c>
      <c r="AE145" t="s">
        <v>274</v>
      </c>
      <c r="AF145" t="s">
        <v>498</v>
      </c>
      <c r="AG145" t="s">
        <v>278</v>
      </c>
      <c r="AH145" t="s">
        <v>279</v>
      </c>
    </row>
    <row r="146" spans="1:34" x14ac:dyDescent="0.2">
      <c r="A146" t="s">
        <v>709</v>
      </c>
      <c r="B146" t="s">
        <v>632</v>
      </c>
      <c r="C146" t="s">
        <v>606</v>
      </c>
      <c r="D146" t="s">
        <v>695</v>
      </c>
      <c r="F146" t="s">
        <v>218</v>
      </c>
      <c r="G146" t="s">
        <v>218</v>
      </c>
      <c r="H146" t="s">
        <v>85</v>
      </c>
      <c r="I146" t="s">
        <v>218</v>
      </c>
      <c r="J146" t="s">
        <v>218</v>
      </c>
      <c r="K146" t="s">
        <v>218</v>
      </c>
      <c r="L146" t="s">
        <v>259</v>
      </c>
      <c r="M146" t="s">
        <v>218</v>
      </c>
      <c r="P146">
        <v>0</v>
      </c>
      <c r="Q146">
        <v>0</v>
      </c>
      <c r="R146" t="s">
        <v>218</v>
      </c>
      <c r="V146" t="s">
        <v>219</v>
      </c>
      <c r="Y146" t="s">
        <v>218</v>
      </c>
      <c r="Z146" t="s">
        <v>218</v>
      </c>
      <c r="AA146" t="s">
        <v>218</v>
      </c>
      <c r="AB146" t="s">
        <v>218</v>
      </c>
      <c r="AC146" t="s">
        <v>218</v>
      </c>
      <c r="AE146" t="s">
        <v>218</v>
      </c>
      <c r="AF146" t="s">
        <v>710</v>
      </c>
      <c r="AG146" t="s">
        <v>347</v>
      </c>
      <c r="AH146" t="s">
        <v>265</v>
      </c>
    </row>
    <row r="147" spans="1:34" x14ac:dyDescent="0.2">
      <c r="A147" t="s">
        <v>499</v>
      </c>
      <c r="B147" t="s">
        <v>31</v>
      </c>
      <c r="C147" t="s">
        <v>282</v>
      </c>
      <c r="D147" t="s">
        <v>695</v>
      </c>
      <c r="E147" t="s">
        <v>257</v>
      </c>
      <c r="F147" t="s">
        <v>218</v>
      </c>
      <c r="G147" t="s">
        <v>218</v>
      </c>
      <c r="H147" t="s">
        <v>85</v>
      </c>
      <c r="I147" t="s">
        <v>258</v>
      </c>
      <c r="J147" t="s">
        <v>218</v>
      </c>
      <c r="K147" t="s">
        <v>218</v>
      </c>
      <c r="L147" t="s">
        <v>259</v>
      </c>
      <c r="M147" t="s">
        <v>218</v>
      </c>
      <c r="P147">
        <v>0</v>
      </c>
      <c r="Q147">
        <v>0</v>
      </c>
      <c r="R147" t="s">
        <v>261</v>
      </c>
      <c r="S147" s="50">
        <v>44682</v>
      </c>
      <c r="T147" s="50">
        <v>45444</v>
      </c>
      <c r="U147" s="50">
        <v>45061</v>
      </c>
      <c r="V147" t="s">
        <v>282</v>
      </c>
      <c r="Y147" t="s">
        <v>218</v>
      </c>
      <c r="Z147" t="s">
        <v>218</v>
      </c>
      <c r="AA147" t="s">
        <v>218</v>
      </c>
      <c r="AB147" t="s">
        <v>218</v>
      </c>
      <c r="AC147" t="s">
        <v>218</v>
      </c>
      <c r="AE147" t="s">
        <v>218</v>
      </c>
      <c r="AF147" t="s">
        <v>500</v>
      </c>
      <c r="AG147" t="s">
        <v>341</v>
      </c>
      <c r="AH147" t="s">
        <v>265</v>
      </c>
    </row>
    <row r="148" spans="1:34" x14ac:dyDescent="0.2">
      <c r="A148" t="s">
        <v>711</v>
      </c>
      <c r="B148" t="s">
        <v>217</v>
      </c>
      <c r="C148" t="s">
        <v>256</v>
      </c>
      <c r="D148" t="s">
        <v>256</v>
      </c>
      <c r="E148" t="s">
        <v>267</v>
      </c>
      <c r="F148" t="s">
        <v>161</v>
      </c>
      <c r="G148" t="s">
        <v>218</v>
      </c>
      <c r="H148" t="s">
        <v>23</v>
      </c>
      <c r="I148" t="s">
        <v>320</v>
      </c>
      <c r="J148" t="s">
        <v>178</v>
      </c>
      <c r="K148" t="s">
        <v>115</v>
      </c>
      <c r="L148" t="s">
        <v>259</v>
      </c>
      <c r="M148" t="s">
        <v>286</v>
      </c>
      <c r="N148" s="58">
        <v>100000</v>
      </c>
      <c r="O148" s="58">
        <v>40000</v>
      </c>
      <c r="P148">
        <v>4179</v>
      </c>
      <c r="Q148">
        <v>0</v>
      </c>
      <c r="R148" t="s">
        <v>261</v>
      </c>
      <c r="S148" s="50">
        <v>44440</v>
      </c>
      <c r="T148" s="50">
        <v>46387</v>
      </c>
      <c r="U148" s="50">
        <v>46387</v>
      </c>
      <c r="V148" t="s">
        <v>602</v>
      </c>
      <c r="W148" s="50">
        <v>44641</v>
      </c>
      <c r="Y148" t="s">
        <v>26</v>
      </c>
      <c r="Z148" t="s">
        <v>27</v>
      </c>
      <c r="AA148" t="s">
        <v>607</v>
      </c>
      <c r="AB148" t="s">
        <v>27</v>
      </c>
      <c r="AC148" t="s">
        <v>218</v>
      </c>
      <c r="AD148" s="50">
        <v>45968</v>
      </c>
      <c r="AE148" t="s">
        <v>274</v>
      </c>
      <c r="AF148" t="s">
        <v>501</v>
      </c>
      <c r="AG148" t="s">
        <v>339</v>
      </c>
      <c r="AH148" t="s">
        <v>265</v>
      </c>
    </row>
    <row r="149" spans="1:34" x14ac:dyDescent="0.2">
      <c r="A149" t="s">
        <v>502</v>
      </c>
      <c r="B149" t="s">
        <v>217</v>
      </c>
      <c r="C149" t="s">
        <v>282</v>
      </c>
      <c r="D149" t="s">
        <v>695</v>
      </c>
      <c r="E149" t="s">
        <v>276</v>
      </c>
      <c r="F149" t="s">
        <v>218</v>
      </c>
      <c r="G149" t="s">
        <v>218</v>
      </c>
      <c r="H149" t="s">
        <v>20</v>
      </c>
      <c r="I149" t="s">
        <v>637</v>
      </c>
      <c r="J149" t="s">
        <v>218</v>
      </c>
      <c r="K149" t="s">
        <v>218</v>
      </c>
      <c r="L149" t="s">
        <v>259</v>
      </c>
      <c r="M149" t="s">
        <v>218</v>
      </c>
      <c r="P149">
        <v>0</v>
      </c>
      <c r="Q149">
        <v>0</v>
      </c>
      <c r="R149" t="s">
        <v>261</v>
      </c>
      <c r="S149" s="50">
        <v>44835</v>
      </c>
      <c r="T149" s="50">
        <v>45016</v>
      </c>
      <c r="U149" s="50">
        <v>45016</v>
      </c>
      <c r="V149" t="s">
        <v>282</v>
      </c>
      <c r="Y149" t="s">
        <v>218</v>
      </c>
      <c r="Z149" t="s">
        <v>218</v>
      </c>
      <c r="AA149" t="s">
        <v>218</v>
      </c>
      <c r="AB149" t="s">
        <v>218</v>
      </c>
      <c r="AC149" t="s">
        <v>218</v>
      </c>
      <c r="AE149" t="s">
        <v>218</v>
      </c>
      <c r="AF149" t="s">
        <v>503</v>
      </c>
      <c r="AG149" t="s">
        <v>354</v>
      </c>
      <c r="AH149" t="s">
        <v>265</v>
      </c>
    </row>
    <row r="150" spans="1:34" x14ac:dyDescent="0.2">
      <c r="A150" t="s">
        <v>504</v>
      </c>
      <c r="B150" t="s">
        <v>217</v>
      </c>
      <c r="C150" t="s">
        <v>634</v>
      </c>
      <c r="D150" t="s">
        <v>695</v>
      </c>
      <c r="E150" t="s">
        <v>257</v>
      </c>
      <c r="F150" t="s">
        <v>149</v>
      </c>
      <c r="G150" t="s">
        <v>285</v>
      </c>
      <c r="H150" t="s">
        <v>20</v>
      </c>
      <c r="I150" t="s">
        <v>617</v>
      </c>
      <c r="J150" t="s">
        <v>473</v>
      </c>
      <c r="K150" t="s">
        <v>24</v>
      </c>
      <c r="L150" t="s">
        <v>268</v>
      </c>
      <c r="M150" t="s">
        <v>218</v>
      </c>
      <c r="O150" s="58">
        <v>250000</v>
      </c>
      <c r="P150">
        <v>500</v>
      </c>
      <c r="Q150">
        <v>200</v>
      </c>
      <c r="R150" t="s">
        <v>383</v>
      </c>
      <c r="S150" s="50">
        <v>45275</v>
      </c>
      <c r="T150" s="50">
        <v>45689</v>
      </c>
      <c r="U150" s="50">
        <v>45641</v>
      </c>
      <c r="V150" t="s">
        <v>219</v>
      </c>
      <c r="Y150" t="s">
        <v>27</v>
      </c>
      <c r="Z150" t="s">
        <v>27</v>
      </c>
      <c r="AA150" t="s">
        <v>27</v>
      </c>
      <c r="AB150" t="s">
        <v>27</v>
      </c>
      <c r="AC150" t="s">
        <v>37</v>
      </c>
      <c r="AD150" s="50">
        <v>45526</v>
      </c>
      <c r="AE150" t="s">
        <v>307</v>
      </c>
      <c r="AF150" t="s">
        <v>505</v>
      </c>
      <c r="AG150" t="s">
        <v>506</v>
      </c>
      <c r="AH150" t="s">
        <v>265</v>
      </c>
    </row>
    <row r="151" spans="1:34" x14ac:dyDescent="0.2">
      <c r="A151" t="s">
        <v>88</v>
      </c>
      <c r="B151" t="s">
        <v>221</v>
      </c>
      <c r="C151" t="s">
        <v>282</v>
      </c>
      <c r="D151" t="s">
        <v>695</v>
      </c>
      <c r="E151" t="s">
        <v>276</v>
      </c>
      <c r="F151" t="s">
        <v>218</v>
      </c>
      <c r="G151" t="s">
        <v>218</v>
      </c>
      <c r="H151" t="s">
        <v>23</v>
      </c>
      <c r="I151" t="s">
        <v>258</v>
      </c>
      <c r="J151" t="s">
        <v>177</v>
      </c>
      <c r="K151" t="s">
        <v>116</v>
      </c>
      <c r="L151" t="s">
        <v>268</v>
      </c>
      <c r="M151" t="s">
        <v>218</v>
      </c>
      <c r="P151">
        <v>0</v>
      </c>
      <c r="Q151">
        <v>0</v>
      </c>
      <c r="R151" t="s">
        <v>261</v>
      </c>
      <c r="S151" s="50">
        <v>45505</v>
      </c>
      <c r="T151" s="50">
        <v>45626</v>
      </c>
      <c r="U151" s="50">
        <v>45626</v>
      </c>
      <c r="V151" t="s">
        <v>282</v>
      </c>
      <c r="Y151" t="s">
        <v>218</v>
      </c>
      <c r="Z151" t="s">
        <v>218</v>
      </c>
      <c r="AA151" t="s">
        <v>218</v>
      </c>
      <c r="AB151" t="s">
        <v>218</v>
      </c>
      <c r="AC151" t="s">
        <v>218</v>
      </c>
      <c r="AE151" t="s">
        <v>218</v>
      </c>
      <c r="AF151" t="s">
        <v>507</v>
      </c>
      <c r="AG151" t="s">
        <v>278</v>
      </c>
      <c r="AH151" t="s">
        <v>279</v>
      </c>
    </row>
    <row r="152" spans="1:34" x14ac:dyDescent="0.2">
      <c r="A152" t="s">
        <v>88</v>
      </c>
      <c r="B152" t="s">
        <v>217</v>
      </c>
      <c r="C152" t="s">
        <v>256</v>
      </c>
      <c r="D152" t="s">
        <v>256</v>
      </c>
      <c r="E152" t="s">
        <v>267</v>
      </c>
      <c r="F152" t="s">
        <v>144</v>
      </c>
      <c r="G152" t="s">
        <v>285</v>
      </c>
      <c r="H152" t="s">
        <v>23</v>
      </c>
      <c r="I152" t="s">
        <v>258</v>
      </c>
      <c r="J152" t="s">
        <v>177</v>
      </c>
      <c r="K152" t="s">
        <v>116</v>
      </c>
      <c r="L152" t="s">
        <v>268</v>
      </c>
      <c r="M152" t="s">
        <v>292</v>
      </c>
      <c r="N152" s="58">
        <v>994990</v>
      </c>
      <c r="O152" s="58">
        <v>300000</v>
      </c>
      <c r="P152">
        <v>8497</v>
      </c>
      <c r="Q152">
        <v>0</v>
      </c>
      <c r="R152" t="s">
        <v>261</v>
      </c>
      <c r="S152" s="50">
        <v>44896</v>
      </c>
      <c r="T152" s="50">
        <v>46477</v>
      </c>
      <c r="U152" s="50">
        <v>46477</v>
      </c>
      <c r="V152" t="s">
        <v>602</v>
      </c>
      <c r="W152" s="50">
        <v>45378</v>
      </c>
      <c r="Y152" t="s">
        <v>26</v>
      </c>
      <c r="Z152" t="s">
        <v>27</v>
      </c>
      <c r="AA152" t="s">
        <v>57</v>
      </c>
      <c r="AB152" t="s">
        <v>27</v>
      </c>
      <c r="AC152" t="s">
        <v>218</v>
      </c>
      <c r="AD152" s="50">
        <v>45673</v>
      </c>
      <c r="AE152" t="s">
        <v>274</v>
      </c>
      <c r="AF152" t="s">
        <v>507</v>
      </c>
      <c r="AG152" t="s">
        <v>278</v>
      </c>
      <c r="AH152" t="s">
        <v>279</v>
      </c>
    </row>
    <row r="153" spans="1:34" x14ac:dyDescent="0.2">
      <c r="A153" t="s">
        <v>88</v>
      </c>
      <c r="B153" t="s">
        <v>632</v>
      </c>
      <c r="C153" t="s">
        <v>256</v>
      </c>
      <c r="D153" t="s">
        <v>256</v>
      </c>
      <c r="E153" t="s">
        <v>257</v>
      </c>
      <c r="F153" t="s">
        <v>149</v>
      </c>
      <c r="G153" t="s">
        <v>218</v>
      </c>
      <c r="H153" t="s">
        <v>23</v>
      </c>
      <c r="I153" t="s">
        <v>258</v>
      </c>
      <c r="J153" t="s">
        <v>177</v>
      </c>
      <c r="K153" t="s">
        <v>116</v>
      </c>
      <c r="L153" t="s">
        <v>268</v>
      </c>
      <c r="M153" t="s">
        <v>218</v>
      </c>
      <c r="P153">
        <v>0</v>
      </c>
      <c r="Q153">
        <v>0</v>
      </c>
      <c r="R153" t="s">
        <v>261</v>
      </c>
      <c r="S153" s="50">
        <v>46001</v>
      </c>
      <c r="T153" s="50">
        <v>46365</v>
      </c>
      <c r="U153" s="50">
        <v>46365</v>
      </c>
      <c r="V153" t="s">
        <v>219</v>
      </c>
      <c r="Y153" t="s">
        <v>218</v>
      </c>
      <c r="Z153" t="s">
        <v>218</v>
      </c>
      <c r="AA153" t="s">
        <v>218</v>
      </c>
      <c r="AB153" t="s">
        <v>218</v>
      </c>
      <c r="AC153" t="s">
        <v>218</v>
      </c>
      <c r="AE153" t="s">
        <v>218</v>
      </c>
      <c r="AF153" t="s">
        <v>507</v>
      </c>
      <c r="AG153" t="s">
        <v>278</v>
      </c>
      <c r="AH153" t="s">
        <v>279</v>
      </c>
    </row>
    <row r="154" spans="1:34" x14ac:dyDescent="0.2">
      <c r="A154" t="s">
        <v>226</v>
      </c>
      <c r="B154" t="s">
        <v>266</v>
      </c>
      <c r="C154" t="s">
        <v>256</v>
      </c>
      <c r="D154" t="s">
        <v>256</v>
      </c>
      <c r="E154" t="s">
        <v>257</v>
      </c>
      <c r="F154" t="s">
        <v>149</v>
      </c>
      <c r="G154" t="s">
        <v>218</v>
      </c>
      <c r="H154" t="s">
        <v>85</v>
      </c>
      <c r="I154" t="s">
        <v>601</v>
      </c>
      <c r="J154" t="s">
        <v>694</v>
      </c>
      <c r="K154" t="s">
        <v>117</v>
      </c>
      <c r="L154" t="s">
        <v>268</v>
      </c>
      <c r="M154" t="s">
        <v>218</v>
      </c>
      <c r="N154" s="58">
        <v>62500</v>
      </c>
      <c r="P154">
        <v>0</v>
      </c>
      <c r="Q154">
        <v>0</v>
      </c>
      <c r="R154" t="s">
        <v>261</v>
      </c>
      <c r="S154" s="50">
        <v>45756</v>
      </c>
      <c r="T154" s="50">
        <v>46120</v>
      </c>
      <c r="U154" s="50">
        <v>46120</v>
      </c>
      <c r="V154" t="s">
        <v>219</v>
      </c>
      <c r="Y154" t="s">
        <v>218</v>
      </c>
      <c r="Z154" t="s">
        <v>218</v>
      </c>
      <c r="AA154" t="s">
        <v>218</v>
      </c>
      <c r="AB154" t="s">
        <v>218</v>
      </c>
      <c r="AC154" t="s">
        <v>218</v>
      </c>
      <c r="AE154" t="s">
        <v>262</v>
      </c>
      <c r="AF154" t="s">
        <v>622</v>
      </c>
      <c r="AG154" t="s">
        <v>623</v>
      </c>
      <c r="AH154" t="s">
        <v>265</v>
      </c>
    </row>
    <row r="155" spans="1:34" x14ac:dyDescent="0.2">
      <c r="A155" t="s">
        <v>226</v>
      </c>
      <c r="B155" t="s">
        <v>217</v>
      </c>
      <c r="C155" t="s">
        <v>256</v>
      </c>
      <c r="D155" t="s">
        <v>256</v>
      </c>
      <c r="E155" t="s">
        <v>257</v>
      </c>
      <c r="F155" t="s">
        <v>144</v>
      </c>
      <c r="G155" t="s">
        <v>693</v>
      </c>
      <c r="H155" t="s">
        <v>20</v>
      </c>
      <c r="I155" t="s">
        <v>601</v>
      </c>
      <c r="J155" t="s">
        <v>694</v>
      </c>
      <c r="K155" t="s">
        <v>117</v>
      </c>
      <c r="L155" t="s">
        <v>268</v>
      </c>
      <c r="M155" t="s">
        <v>292</v>
      </c>
      <c r="N155" s="58">
        <v>187500</v>
      </c>
      <c r="O155" s="58">
        <v>450000</v>
      </c>
      <c r="P155">
        <v>1300</v>
      </c>
      <c r="Q155">
        <v>500</v>
      </c>
      <c r="R155" t="s">
        <v>261</v>
      </c>
      <c r="S155" s="50">
        <v>45756</v>
      </c>
      <c r="T155" s="50">
        <v>46120</v>
      </c>
      <c r="U155" s="50">
        <v>46120</v>
      </c>
      <c r="V155" t="s">
        <v>219</v>
      </c>
      <c r="Y155" t="s">
        <v>26</v>
      </c>
      <c r="Z155" t="s">
        <v>27</v>
      </c>
      <c r="AA155" t="s">
        <v>27</v>
      </c>
      <c r="AB155" t="s">
        <v>27</v>
      </c>
      <c r="AC155" t="s">
        <v>621</v>
      </c>
      <c r="AD155" s="50">
        <v>45926</v>
      </c>
      <c r="AE155" t="s">
        <v>274</v>
      </c>
      <c r="AF155" t="s">
        <v>622</v>
      </c>
      <c r="AG155" t="s">
        <v>623</v>
      </c>
      <c r="AH155" t="s">
        <v>265</v>
      </c>
    </row>
    <row r="156" spans="1:34" x14ac:dyDescent="0.2">
      <c r="A156" t="s">
        <v>508</v>
      </c>
      <c r="B156" t="s">
        <v>217</v>
      </c>
      <c r="C156" t="s">
        <v>282</v>
      </c>
      <c r="D156" t="s">
        <v>695</v>
      </c>
      <c r="E156" t="s">
        <v>276</v>
      </c>
      <c r="F156" t="s">
        <v>218</v>
      </c>
      <c r="G156" t="s">
        <v>218</v>
      </c>
      <c r="H156" t="s">
        <v>20</v>
      </c>
      <c r="I156" t="s">
        <v>320</v>
      </c>
      <c r="J156" t="s">
        <v>218</v>
      </c>
      <c r="K156" t="s">
        <v>218</v>
      </c>
      <c r="L156" t="s">
        <v>259</v>
      </c>
      <c r="M156" t="s">
        <v>218</v>
      </c>
      <c r="P156">
        <v>0</v>
      </c>
      <c r="Q156">
        <v>0</v>
      </c>
      <c r="R156" t="s">
        <v>261</v>
      </c>
      <c r="S156" s="50">
        <v>44531</v>
      </c>
      <c r="T156" s="50">
        <v>44740</v>
      </c>
      <c r="U156" s="50">
        <v>44740</v>
      </c>
      <c r="V156" t="s">
        <v>282</v>
      </c>
      <c r="Y156" t="s">
        <v>218</v>
      </c>
      <c r="Z156" t="s">
        <v>218</v>
      </c>
      <c r="AA156" t="s">
        <v>218</v>
      </c>
      <c r="AB156" t="s">
        <v>218</v>
      </c>
      <c r="AC156" t="s">
        <v>218</v>
      </c>
      <c r="AE156" t="s">
        <v>218</v>
      </c>
      <c r="AF156" t="s">
        <v>509</v>
      </c>
      <c r="AG156" t="s">
        <v>339</v>
      </c>
      <c r="AH156" t="s">
        <v>265</v>
      </c>
    </row>
    <row r="157" spans="1:34" x14ac:dyDescent="0.2">
      <c r="A157" t="s">
        <v>89</v>
      </c>
      <c r="B157" t="s">
        <v>217</v>
      </c>
      <c r="C157" t="s">
        <v>256</v>
      </c>
      <c r="D157" t="s">
        <v>256</v>
      </c>
      <c r="E157" t="s">
        <v>267</v>
      </c>
      <c r="F157" t="s">
        <v>149</v>
      </c>
      <c r="G157" t="s">
        <v>614</v>
      </c>
      <c r="H157" t="s">
        <v>23</v>
      </c>
      <c r="I157" t="s">
        <v>637</v>
      </c>
      <c r="J157" t="s">
        <v>44</v>
      </c>
      <c r="K157" t="s">
        <v>119</v>
      </c>
      <c r="L157" t="s">
        <v>259</v>
      </c>
      <c r="M157" t="s">
        <v>316</v>
      </c>
      <c r="N157" s="58">
        <v>321840</v>
      </c>
      <c r="O157" s="58">
        <v>23760</v>
      </c>
      <c r="P157">
        <v>6823</v>
      </c>
      <c r="Q157">
        <v>1300</v>
      </c>
      <c r="R157" t="s">
        <v>383</v>
      </c>
      <c r="S157" s="50">
        <v>44501</v>
      </c>
      <c r="T157" s="50">
        <v>46752</v>
      </c>
      <c r="U157" s="50">
        <v>46752</v>
      </c>
      <c r="V157" t="s">
        <v>602</v>
      </c>
      <c r="W157" s="50">
        <v>44727</v>
      </c>
      <c r="Y157" t="s">
        <v>26</v>
      </c>
      <c r="Z157" t="s">
        <v>26</v>
      </c>
      <c r="AA157" t="s">
        <v>57</v>
      </c>
      <c r="AB157" t="s">
        <v>57</v>
      </c>
      <c r="AC157" t="s">
        <v>218</v>
      </c>
      <c r="AD157" s="50">
        <v>45917</v>
      </c>
      <c r="AE157" t="s">
        <v>274</v>
      </c>
      <c r="AF157" t="s">
        <v>510</v>
      </c>
      <c r="AG157" t="s">
        <v>511</v>
      </c>
      <c r="AH157" t="s">
        <v>265</v>
      </c>
    </row>
    <row r="158" spans="1:34" x14ac:dyDescent="0.2">
      <c r="A158" t="s">
        <v>90</v>
      </c>
      <c r="B158" t="s">
        <v>266</v>
      </c>
      <c r="C158" t="s">
        <v>302</v>
      </c>
      <c r="D158" t="s">
        <v>695</v>
      </c>
      <c r="E158" t="s">
        <v>267</v>
      </c>
      <c r="F158" t="s">
        <v>149</v>
      </c>
      <c r="G158" t="s">
        <v>218</v>
      </c>
      <c r="H158" t="s">
        <v>20</v>
      </c>
      <c r="I158" t="s">
        <v>637</v>
      </c>
      <c r="J158" t="s">
        <v>53</v>
      </c>
      <c r="K158" t="s">
        <v>34</v>
      </c>
      <c r="L158" t="s">
        <v>259</v>
      </c>
      <c r="M158" t="s">
        <v>218</v>
      </c>
      <c r="P158">
        <v>0</v>
      </c>
      <c r="Q158">
        <v>0</v>
      </c>
      <c r="R158" t="s">
        <v>323</v>
      </c>
      <c r="S158" s="50">
        <v>45200</v>
      </c>
      <c r="T158" s="50">
        <v>45948</v>
      </c>
      <c r="U158" s="50">
        <v>47118</v>
      </c>
      <c r="V158" t="s">
        <v>218</v>
      </c>
      <c r="X158" s="50">
        <v>45948</v>
      </c>
      <c r="Y158" t="s">
        <v>218</v>
      </c>
      <c r="Z158" t="s">
        <v>218</v>
      </c>
      <c r="AA158" t="s">
        <v>218</v>
      </c>
      <c r="AB158" t="s">
        <v>218</v>
      </c>
      <c r="AC158" t="s">
        <v>218</v>
      </c>
      <c r="AE158" t="s">
        <v>218</v>
      </c>
      <c r="AF158" t="s">
        <v>512</v>
      </c>
      <c r="AG158" t="s">
        <v>371</v>
      </c>
      <c r="AH158" t="s">
        <v>265</v>
      </c>
    </row>
    <row r="159" spans="1:34" x14ac:dyDescent="0.2">
      <c r="A159" t="s">
        <v>90</v>
      </c>
      <c r="B159" t="s">
        <v>217</v>
      </c>
      <c r="C159" t="s">
        <v>302</v>
      </c>
      <c r="D159" t="s">
        <v>695</v>
      </c>
      <c r="E159" t="s">
        <v>267</v>
      </c>
      <c r="F159" t="s">
        <v>155</v>
      </c>
      <c r="G159" t="s">
        <v>693</v>
      </c>
      <c r="H159" t="s">
        <v>20</v>
      </c>
      <c r="I159" t="s">
        <v>637</v>
      </c>
      <c r="J159" t="s">
        <v>53</v>
      </c>
      <c r="K159" t="s">
        <v>34</v>
      </c>
      <c r="L159" t="s">
        <v>259</v>
      </c>
      <c r="M159" t="s">
        <v>292</v>
      </c>
      <c r="O159" s="58">
        <v>10000</v>
      </c>
      <c r="P159">
        <v>1900</v>
      </c>
      <c r="Q159">
        <v>278</v>
      </c>
      <c r="R159" t="s">
        <v>323</v>
      </c>
      <c r="S159" s="50">
        <v>44652</v>
      </c>
      <c r="T159" s="50">
        <v>45948</v>
      </c>
      <c r="U159" s="50">
        <v>47118</v>
      </c>
      <c r="V159" t="s">
        <v>602</v>
      </c>
      <c r="W159" s="50">
        <v>45243</v>
      </c>
      <c r="X159" s="50">
        <v>45948</v>
      </c>
      <c r="Y159" t="s">
        <v>612</v>
      </c>
      <c r="Z159" t="s">
        <v>612</v>
      </c>
      <c r="AA159" t="s">
        <v>607</v>
      </c>
      <c r="AB159" t="s">
        <v>612</v>
      </c>
      <c r="AC159" t="s">
        <v>37</v>
      </c>
      <c r="AD159" s="50">
        <v>45929</v>
      </c>
      <c r="AE159" t="s">
        <v>307</v>
      </c>
      <c r="AF159" t="s">
        <v>512</v>
      </c>
      <c r="AG159" t="s">
        <v>371</v>
      </c>
      <c r="AH159" t="s">
        <v>265</v>
      </c>
    </row>
    <row r="160" spans="1:34" x14ac:dyDescent="0.2">
      <c r="A160" t="s">
        <v>91</v>
      </c>
      <c r="B160" t="s">
        <v>217</v>
      </c>
      <c r="C160" t="s">
        <v>302</v>
      </c>
      <c r="D160" t="s">
        <v>695</v>
      </c>
      <c r="E160" t="s">
        <v>267</v>
      </c>
      <c r="F160" t="s">
        <v>144</v>
      </c>
      <c r="G160" t="s">
        <v>319</v>
      </c>
      <c r="H160" t="s">
        <v>20</v>
      </c>
      <c r="I160" t="s">
        <v>617</v>
      </c>
      <c r="J160" t="s">
        <v>60</v>
      </c>
      <c r="K160" t="s">
        <v>24</v>
      </c>
      <c r="L160" t="s">
        <v>268</v>
      </c>
      <c r="M160" t="s">
        <v>218</v>
      </c>
      <c r="P160">
        <v>248</v>
      </c>
      <c r="Q160">
        <v>0</v>
      </c>
      <c r="R160" t="s">
        <v>261</v>
      </c>
      <c r="S160" s="50">
        <v>45275</v>
      </c>
      <c r="T160" s="50">
        <v>45748</v>
      </c>
      <c r="U160" s="50">
        <v>45747</v>
      </c>
      <c r="V160" t="s">
        <v>602</v>
      </c>
      <c r="W160" s="50">
        <v>45672</v>
      </c>
      <c r="X160" s="50">
        <v>45748</v>
      </c>
      <c r="Y160" t="s">
        <v>26</v>
      </c>
      <c r="Z160" t="s">
        <v>26</v>
      </c>
      <c r="AA160" t="s">
        <v>57</v>
      </c>
      <c r="AB160" t="s">
        <v>26</v>
      </c>
      <c r="AC160" t="s">
        <v>218</v>
      </c>
      <c r="AD160" s="50">
        <v>45414</v>
      </c>
      <c r="AE160" t="s">
        <v>274</v>
      </c>
      <c r="AF160" t="s">
        <v>513</v>
      </c>
      <c r="AG160" t="s">
        <v>278</v>
      </c>
      <c r="AH160" t="s">
        <v>514</v>
      </c>
    </row>
    <row r="161" spans="1:34" x14ac:dyDescent="0.2">
      <c r="A161" t="s">
        <v>210</v>
      </c>
      <c r="B161" t="s">
        <v>217</v>
      </c>
      <c r="C161" t="s">
        <v>256</v>
      </c>
      <c r="D161" t="s">
        <v>256</v>
      </c>
      <c r="E161" t="s">
        <v>257</v>
      </c>
      <c r="F161" t="s">
        <v>155</v>
      </c>
      <c r="G161" t="s">
        <v>218</v>
      </c>
      <c r="H161" t="s">
        <v>20</v>
      </c>
      <c r="I161" t="s">
        <v>320</v>
      </c>
      <c r="J161" t="s">
        <v>44</v>
      </c>
      <c r="K161" t="s">
        <v>119</v>
      </c>
      <c r="L161" t="s">
        <v>259</v>
      </c>
      <c r="M161" t="s">
        <v>218</v>
      </c>
      <c r="N161" s="58">
        <v>65863</v>
      </c>
      <c r="O161" s="58">
        <v>10000</v>
      </c>
      <c r="P161">
        <v>803</v>
      </c>
      <c r="Q161">
        <v>0</v>
      </c>
      <c r="R161" t="s">
        <v>261</v>
      </c>
      <c r="S161" s="50">
        <v>46010</v>
      </c>
      <c r="T161" s="50">
        <v>46374</v>
      </c>
      <c r="U161" s="50">
        <v>46374</v>
      </c>
      <c r="V161" t="s">
        <v>219</v>
      </c>
      <c r="Y161" t="s">
        <v>27</v>
      </c>
      <c r="Z161" t="s">
        <v>27</v>
      </c>
      <c r="AA161" t="s">
        <v>27</v>
      </c>
      <c r="AB161" t="s">
        <v>27</v>
      </c>
      <c r="AC161" t="s">
        <v>218</v>
      </c>
      <c r="AE161" t="s">
        <v>274</v>
      </c>
      <c r="AF161" t="s">
        <v>218</v>
      </c>
      <c r="AG161" t="s">
        <v>218</v>
      </c>
      <c r="AH161" t="s">
        <v>265</v>
      </c>
    </row>
    <row r="162" spans="1:34" x14ac:dyDescent="0.2">
      <c r="A162" t="s">
        <v>515</v>
      </c>
      <c r="B162" t="s">
        <v>217</v>
      </c>
      <c r="C162" t="s">
        <v>302</v>
      </c>
      <c r="D162" t="s">
        <v>695</v>
      </c>
      <c r="E162" t="s">
        <v>267</v>
      </c>
      <c r="F162" t="s">
        <v>218</v>
      </c>
      <c r="G162" t="s">
        <v>218</v>
      </c>
      <c r="H162" t="s">
        <v>32</v>
      </c>
      <c r="I162" t="s">
        <v>637</v>
      </c>
      <c r="J162" t="s">
        <v>655</v>
      </c>
      <c r="K162" t="s">
        <v>117</v>
      </c>
      <c r="L162" t="s">
        <v>259</v>
      </c>
      <c r="M162" t="s">
        <v>286</v>
      </c>
      <c r="P162">
        <v>2552</v>
      </c>
      <c r="Q162">
        <v>88</v>
      </c>
      <c r="R162" t="s">
        <v>323</v>
      </c>
      <c r="S162" s="50">
        <v>44378</v>
      </c>
      <c r="T162" s="50">
        <v>45292</v>
      </c>
      <c r="U162" s="50">
        <v>46203</v>
      </c>
      <c r="V162" t="s">
        <v>218</v>
      </c>
      <c r="X162" s="50">
        <v>45292</v>
      </c>
      <c r="Y162" t="s">
        <v>218</v>
      </c>
      <c r="Z162" t="s">
        <v>218</v>
      </c>
      <c r="AA162" t="s">
        <v>218</v>
      </c>
      <c r="AB162" t="s">
        <v>218</v>
      </c>
      <c r="AC162" t="s">
        <v>218</v>
      </c>
      <c r="AD162" s="50">
        <v>45198</v>
      </c>
      <c r="AE162" t="s">
        <v>294</v>
      </c>
      <c r="AF162" t="s">
        <v>516</v>
      </c>
      <c r="AG162" t="s">
        <v>363</v>
      </c>
      <c r="AH162" t="s">
        <v>265</v>
      </c>
    </row>
    <row r="163" spans="1:34" x14ac:dyDescent="0.2">
      <c r="A163" t="s">
        <v>517</v>
      </c>
      <c r="B163" t="s">
        <v>217</v>
      </c>
      <c r="C163" t="s">
        <v>302</v>
      </c>
      <c r="D163" t="s">
        <v>695</v>
      </c>
      <c r="E163" t="s">
        <v>267</v>
      </c>
      <c r="F163" t="s">
        <v>161</v>
      </c>
      <c r="G163" t="s">
        <v>285</v>
      </c>
      <c r="H163" t="s">
        <v>23</v>
      </c>
      <c r="I163" t="s">
        <v>258</v>
      </c>
      <c r="J163" t="s">
        <v>207</v>
      </c>
      <c r="K163" t="s">
        <v>207</v>
      </c>
      <c r="L163" t="s">
        <v>268</v>
      </c>
      <c r="M163" t="s">
        <v>218</v>
      </c>
      <c r="P163">
        <v>2000</v>
      </c>
      <c r="Q163">
        <v>0</v>
      </c>
      <c r="R163" t="s">
        <v>261</v>
      </c>
      <c r="S163" s="50">
        <v>45124</v>
      </c>
      <c r="T163" s="50">
        <v>45854</v>
      </c>
      <c r="U163" s="50">
        <v>45854</v>
      </c>
      <c r="V163" t="s">
        <v>602</v>
      </c>
      <c r="W163" s="50">
        <v>45490</v>
      </c>
      <c r="X163" s="50">
        <v>45854</v>
      </c>
      <c r="Y163" t="s">
        <v>604</v>
      </c>
      <c r="Z163" t="s">
        <v>604</v>
      </c>
      <c r="AA163" t="s">
        <v>57</v>
      </c>
      <c r="AB163" t="s">
        <v>612</v>
      </c>
      <c r="AC163" t="s">
        <v>218</v>
      </c>
      <c r="AD163" s="50">
        <v>45667</v>
      </c>
      <c r="AE163" t="s">
        <v>307</v>
      </c>
      <c r="AF163" t="s">
        <v>518</v>
      </c>
      <c r="AG163" t="s">
        <v>456</v>
      </c>
      <c r="AH163" t="s">
        <v>265</v>
      </c>
    </row>
    <row r="164" spans="1:34" x14ac:dyDescent="0.2">
      <c r="A164" t="s">
        <v>92</v>
      </c>
      <c r="B164" t="s">
        <v>217</v>
      </c>
      <c r="C164" t="s">
        <v>256</v>
      </c>
      <c r="D164" t="s">
        <v>256</v>
      </c>
      <c r="E164" t="s">
        <v>267</v>
      </c>
      <c r="F164" t="s">
        <v>161</v>
      </c>
      <c r="G164" t="s">
        <v>349</v>
      </c>
      <c r="H164" t="s">
        <v>23</v>
      </c>
      <c r="I164" t="s">
        <v>626</v>
      </c>
      <c r="J164" t="s">
        <v>694</v>
      </c>
      <c r="K164" t="s">
        <v>222</v>
      </c>
      <c r="L164" t="s">
        <v>259</v>
      </c>
      <c r="M164" t="s">
        <v>292</v>
      </c>
      <c r="N164" s="58">
        <v>48373</v>
      </c>
      <c r="O164" s="58">
        <v>4837</v>
      </c>
      <c r="P164">
        <v>100</v>
      </c>
      <c r="Q164">
        <v>7</v>
      </c>
      <c r="R164" t="s">
        <v>261</v>
      </c>
      <c r="S164" s="50">
        <v>45637</v>
      </c>
      <c r="T164" s="50">
        <v>47097</v>
      </c>
      <c r="U164" s="50">
        <v>47097</v>
      </c>
      <c r="V164" t="s">
        <v>602</v>
      </c>
      <c r="W164" s="50">
        <v>45930</v>
      </c>
      <c r="Y164" t="s">
        <v>26</v>
      </c>
      <c r="Z164" t="s">
        <v>26</v>
      </c>
      <c r="AA164" t="s">
        <v>57</v>
      </c>
      <c r="AB164" t="s">
        <v>57</v>
      </c>
      <c r="AC164" t="s">
        <v>218</v>
      </c>
      <c r="AD164" s="50">
        <v>45951</v>
      </c>
      <c r="AE164" t="s">
        <v>274</v>
      </c>
      <c r="AF164" t="s">
        <v>519</v>
      </c>
      <c r="AG164" t="s">
        <v>456</v>
      </c>
      <c r="AH164" t="s">
        <v>265</v>
      </c>
    </row>
    <row r="165" spans="1:34" x14ac:dyDescent="0.2">
      <c r="A165" t="s">
        <v>199</v>
      </c>
      <c r="B165" t="s">
        <v>217</v>
      </c>
      <c r="C165" t="s">
        <v>256</v>
      </c>
      <c r="D165" t="s">
        <v>256</v>
      </c>
      <c r="E165" t="s">
        <v>267</v>
      </c>
      <c r="F165" t="s">
        <v>155</v>
      </c>
      <c r="G165" t="s">
        <v>614</v>
      </c>
      <c r="H165" t="s">
        <v>23</v>
      </c>
      <c r="I165" t="s">
        <v>320</v>
      </c>
      <c r="J165" t="s">
        <v>53</v>
      </c>
      <c r="K165" t="s">
        <v>699</v>
      </c>
      <c r="L165" t="s">
        <v>259</v>
      </c>
      <c r="M165" t="s">
        <v>292</v>
      </c>
      <c r="N165" s="58">
        <v>188175</v>
      </c>
      <c r="P165">
        <v>4100</v>
      </c>
      <c r="Q165">
        <v>0</v>
      </c>
      <c r="R165" t="s">
        <v>261</v>
      </c>
      <c r="S165" s="50">
        <v>45903</v>
      </c>
      <c r="T165" s="50">
        <v>47847</v>
      </c>
      <c r="U165" s="50">
        <v>47847</v>
      </c>
      <c r="V165" t="s">
        <v>602</v>
      </c>
      <c r="W165" s="50">
        <v>46014</v>
      </c>
      <c r="Y165" t="s">
        <v>26</v>
      </c>
      <c r="Z165" t="s">
        <v>26</v>
      </c>
      <c r="AA165" t="s">
        <v>26</v>
      </c>
      <c r="AB165" t="s">
        <v>27</v>
      </c>
      <c r="AC165" t="s">
        <v>712</v>
      </c>
      <c r="AD165" s="50">
        <v>45995</v>
      </c>
      <c r="AE165" t="s">
        <v>274</v>
      </c>
      <c r="AF165" t="s">
        <v>641</v>
      </c>
      <c r="AG165" t="s">
        <v>288</v>
      </c>
      <c r="AH165" t="s">
        <v>265</v>
      </c>
    </row>
    <row r="166" spans="1:34" x14ac:dyDescent="0.2">
      <c r="A166" t="s">
        <v>213</v>
      </c>
      <c r="B166" t="s">
        <v>221</v>
      </c>
      <c r="C166" t="s">
        <v>256</v>
      </c>
      <c r="D166" t="s">
        <v>256</v>
      </c>
      <c r="E166" t="s">
        <v>257</v>
      </c>
      <c r="F166" t="s">
        <v>149</v>
      </c>
      <c r="G166" t="s">
        <v>218</v>
      </c>
      <c r="H166" t="s">
        <v>85</v>
      </c>
      <c r="I166" t="s">
        <v>617</v>
      </c>
      <c r="J166" t="s">
        <v>44</v>
      </c>
      <c r="K166" t="s">
        <v>119</v>
      </c>
      <c r="L166" t="s">
        <v>268</v>
      </c>
      <c r="M166" t="s">
        <v>218</v>
      </c>
      <c r="N166" s="58">
        <v>138461</v>
      </c>
      <c r="O166" s="58">
        <v>1675000</v>
      </c>
      <c r="P166">
        <v>0</v>
      </c>
      <c r="Q166">
        <v>0</v>
      </c>
      <c r="R166" t="s">
        <v>261</v>
      </c>
      <c r="S166" s="50">
        <v>45943</v>
      </c>
      <c r="T166" s="50">
        <v>46387</v>
      </c>
      <c r="U166" s="50">
        <v>46387</v>
      </c>
      <c r="V166" t="s">
        <v>602</v>
      </c>
      <c r="W166" s="50">
        <v>46000</v>
      </c>
      <c r="Y166" t="s">
        <v>218</v>
      </c>
      <c r="Z166" t="s">
        <v>218</v>
      </c>
      <c r="AA166" t="s">
        <v>218</v>
      </c>
      <c r="AB166" t="s">
        <v>218</v>
      </c>
      <c r="AC166" t="s">
        <v>218</v>
      </c>
      <c r="AE166" t="s">
        <v>262</v>
      </c>
      <c r="AF166" t="s">
        <v>520</v>
      </c>
      <c r="AG166" t="s">
        <v>318</v>
      </c>
      <c r="AH166" t="s">
        <v>265</v>
      </c>
    </row>
    <row r="167" spans="1:34" x14ac:dyDescent="0.2">
      <c r="A167" t="s">
        <v>213</v>
      </c>
      <c r="B167" t="s">
        <v>217</v>
      </c>
      <c r="C167" t="s">
        <v>282</v>
      </c>
      <c r="D167" t="s">
        <v>695</v>
      </c>
      <c r="E167" t="s">
        <v>276</v>
      </c>
      <c r="F167" t="s">
        <v>218</v>
      </c>
      <c r="G167" t="s">
        <v>218</v>
      </c>
      <c r="H167" t="s">
        <v>20</v>
      </c>
      <c r="I167" t="s">
        <v>617</v>
      </c>
      <c r="J167" t="s">
        <v>49</v>
      </c>
      <c r="K167" t="s">
        <v>24</v>
      </c>
      <c r="L167" t="s">
        <v>268</v>
      </c>
      <c r="M167" t="s">
        <v>218</v>
      </c>
      <c r="P167">
        <v>250</v>
      </c>
      <c r="Q167">
        <v>50</v>
      </c>
      <c r="R167" t="s">
        <v>261</v>
      </c>
      <c r="S167" s="50">
        <v>45097</v>
      </c>
      <c r="T167" s="50">
        <v>45291</v>
      </c>
      <c r="U167" s="50">
        <v>45291</v>
      </c>
      <c r="V167" t="s">
        <v>282</v>
      </c>
      <c r="Y167" t="s">
        <v>218</v>
      </c>
      <c r="Z167" t="s">
        <v>218</v>
      </c>
      <c r="AA167" t="s">
        <v>218</v>
      </c>
      <c r="AB167" t="s">
        <v>218</v>
      </c>
      <c r="AC167" t="s">
        <v>218</v>
      </c>
      <c r="AD167" s="50">
        <v>45264</v>
      </c>
      <c r="AE167" t="s">
        <v>218</v>
      </c>
      <c r="AF167" t="s">
        <v>520</v>
      </c>
      <c r="AG167" t="s">
        <v>318</v>
      </c>
      <c r="AH167" t="s">
        <v>265</v>
      </c>
    </row>
    <row r="168" spans="1:34" x14ac:dyDescent="0.2">
      <c r="A168" t="s">
        <v>521</v>
      </c>
      <c r="B168" t="s">
        <v>217</v>
      </c>
      <c r="C168" t="s">
        <v>282</v>
      </c>
      <c r="D168" t="s">
        <v>695</v>
      </c>
      <c r="E168" t="s">
        <v>257</v>
      </c>
      <c r="F168" t="s">
        <v>218</v>
      </c>
      <c r="G168" t="s">
        <v>218</v>
      </c>
      <c r="H168" t="s">
        <v>20</v>
      </c>
      <c r="I168" t="s">
        <v>626</v>
      </c>
      <c r="J168" t="s">
        <v>218</v>
      </c>
      <c r="K168" t="s">
        <v>24</v>
      </c>
      <c r="L168" t="s">
        <v>259</v>
      </c>
      <c r="M168" t="s">
        <v>218</v>
      </c>
      <c r="P168">
        <v>125</v>
      </c>
      <c r="Q168">
        <v>76</v>
      </c>
      <c r="R168" t="s">
        <v>261</v>
      </c>
      <c r="S168" s="50">
        <v>45159</v>
      </c>
      <c r="T168" s="50">
        <v>45525</v>
      </c>
      <c r="U168" s="50">
        <v>45525</v>
      </c>
      <c r="V168" t="s">
        <v>282</v>
      </c>
      <c r="Y168" t="s">
        <v>57</v>
      </c>
      <c r="Z168" t="s">
        <v>27</v>
      </c>
      <c r="AA168" t="s">
        <v>57</v>
      </c>
      <c r="AB168" t="s">
        <v>57</v>
      </c>
      <c r="AC168" t="s">
        <v>218</v>
      </c>
      <c r="AD168" s="50">
        <v>45404</v>
      </c>
      <c r="AE168" t="s">
        <v>218</v>
      </c>
      <c r="AF168" t="s">
        <v>522</v>
      </c>
      <c r="AG168" t="s">
        <v>345</v>
      </c>
      <c r="AH168" t="s">
        <v>265</v>
      </c>
    </row>
    <row r="169" spans="1:34" x14ac:dyDescent="0.2">
      <c r="A169" t="s">
        <v>523</v>
      </c>
      <c r="B169" t="s">
        <v>217</v>
      </c>
      <c r="C169" t="s">
        <v>282</v>
      </c>
      <c r="D169" t="s">
        <v>695</v>
      </c>
      <c r="E169" t="s">
        <v>257</v>
      </c>
      <c r="F169" t="s">
        <v>218</v>
      </c>
      <c r="G169" t="s">
        <v>218</v>
      </c>
      <c r="H169" t="s">
        <v>23</v>
      </c>
      <c r="I169" t="s">
        <v>258</v>
      </c>
      <c r="J169" t="s">
        <v>473</v>
      </c>
      <c r="K169" t="s">
        <v>24</v>
      </c>
      <c r="L169" t="s">
        <v>268</v>
      </c>
      <c r="M169" t="s">
        <v>218</v>
      </c>
      <c r="P169">
        <v>800</v>
      </c>
      <c r="Q169">
        <v>50</v>
      </c>
      <c r="R169" t="s">
        <v>261</v>
      </c>
      <c r="S169" s="50">
        <v>45170</v>
      </c>
      <c r="T169" s="50">
        <v>45536</v>
      </c>
      <c r="U169" s="50">
        <v>45535</v>
      </c>
      <c r="V169" t="s">
        <v>282</v>
      </c>
      <c r="Y169" t="s">
        <v>26</v>
      </c>
      <c r="Z169" t="s">
        <v>26</v>
      </c>
      <c r="AA169" t="s">
        <v>27</v>
      </c>
      <c r="AB169" t="s">
        <v>26</v>
      </c>
      <c r="AC169" t="s">
        <v>218</v>
      </c>
      <c r="AD169" s="50">
        <v>45656</v>
      </c>
      <c r="AE169" t="s">
        <v>307</v>
      </c>
      <c r="AF169" t="s">
        <v>524</v>
      </c>
      <c r="AG169" t="s">
        <v>351</v>
      </c>
      <c r="AH169" t="s">
        <v>265</v>
      </c>
    </row>
    <row r="170" spans="1:34" x14ac:dyDescent="0.2">
      <c r="A170" t="s">
        <v>525</v>
      </c>
      <c r="B170" t="s">
        <v>217</v>
      </c>
      <c r="C170" t="s">
        <v>634</v>
      </c>
      <c r="D170" t="s">
        <v>695</v>
      </c>
      <c r="E170" t="s">
        <v>276</v>
      </c>
      <c r="F170" t="s">
        <v>218</v>
      </c>
      <c r="G170" t="s">
        <v>218</v>
      </c>
      <c r="H170" t="s">
        <v>20</v>
      </c>
      <c r="I170" t="s">
        <v>626</v>
      </c>
      <c r="J170" t="s">
        <v>218</v>
      </c>
      <c r="K170" t="s">
        <v>218</v>
      </c>
      <c r="L170" t="s">
        <v>259</v>
      </c>
      <c r="M170" t="s">
        <v>218</v>
      </c>
      <c r="O170" s="58">
        <v>5000</v>
      </c>
      <c r="P170">
        <v>0</v>
      </c>
      <c r="Q170">
        <v>0</v>
      </c>
      <c r="R170" t="s">
        <v>261</v>
      </c>
      <c r="S170" s="50">
        <v>44835</v>
      </c>
      <c r="T170" s="50">
        <v>44985</v>
      </c>
      <c r="U170" s="50">
        <v>44985</v>
      </c>
      <c r="V170" t="s">
        <v>219</v>
      </c>
      <c r="Y170" t="s">
        <v>218</v>
      </c>
      <c r="Z170" t="s">
        <v>218</v>
      </c>
      <c r="AA170" t="s">
        <v>218</v>
      </c>
      <c r="AB170" t="s">
        <v>218</v>
      </c>
      <c r="AC170" t="s">
        <v>218</v>
      </c>
      <c r="AE170" t="s">
        <v>218</v>
      </c>
      <c r="AF170" t="s">
        <v>526</v>
      </c>
      <c r="AG170" t="s">
        <v>341</v>
      </c>
      <c r="AH170" t="s">
        <v>265</v>
      </c>
    </row>
    <row r="171" spans="1:34" x14ac:dyDescent="0.2">
      <c r="A171" t="s">
        <v>200</v>
      </c>
      <c r="B171" t="s">
        <v>217</v>
      </c>
      <c r="C171" t="s">
        <v>256</v>
      </c>
      <c r="D171" t="s">
        <v>256</v>
      </c>
      <c r="E171" t="s">
        <v>257</v>
      </c>
      <c r="F171" t="s">
        <v>155</v>
      </c>
      <c r="G171" t="s">
        <v>697</v>
      </c>
      <c r="H171" t="s">
        <v>20</v>
      </c>
      <c r="I171" t="s">
        <v>637</v>
      </c>
      <c r="J171" t="s">
        <v>36</v>
      </c>
      <c r="K171" t="s">
        <v>116</v>
      </c>
      <c r="L171" t="s">
        <v>259</v>
      </c>
      <c r="M171" t="s">
        <v>292</v>
      </c>
      <c r="N171" s="58">
        <v>68000</v>
      </c>
      <c r="O171" s="58">
        <v>20400</v>
      </c>
      <c r="P171">
        <v>264</v>
      </c>
      <c r="Q171">
        <v>46</v>
      </c>
      <c r="R171" t="s">
        <v>261</v>
      </c>
      <c r="S171" s="50">
        <v>45915</v>
      </c>
      <c r="T171" s="50">
        <v>46279</v>
      </c>
      <c r="U171" s="50">
        <v>46279</v>
      </c>
      <c r="V171" t="s">
        <v>219</v>
      </c>
      <c r="Y171" t="s">
        <v>27</v>
      </c>
      <c r="Z171" t="s">
        <v>27</v>
      </c>
      <c r="AA171" t="s">
        <v>27</v>
      </c>
      <c r="AB171" t="s">
        <v>27</v>
      </c>
      <c r="AC171" t="s">
        <v>656</v>
      </c>
      <c r="AE171" t="s">
        <v>262</v>
      </c>
      <c r="AF171" t="s">
        <v>657</v>
      </c>
      <c r="AG171" t="s">
        <v>304</v>
      </c>
      <c r="AH171" t="s">
        <v>265</v>
      </c>
    </row>
    <row r="172" spans="1:34" x14ac:dyDescent="0.2">
      <c r="A172" t="s">
        <v>200</v>
      </c>
      <c r="B172" t="s">
        <v>632</v>
      </c>
      <c r="C172" t="s">
        <v>256</v>
      </c>
      <c r="D172" t="s">
        <v>256</v>
      </c>
      <c r="E172" t="s">
        <v>257</v>
      </c>
      <c r="F172" t="s">
        <v>155</v>
      </c>
      <c r="G172" t="s">
        <v>218</v>
      </c>
      <c r="H172" t="s">
        <v>20</v>
      </c>
      <c r="I172" t="s">
        <v>637</v>
      </c>
      <c r="J172" t="s">
        <v>36</v>
      </c>
      <c r="K172" t="s">
        <v>116</v>
      </c>
      <c r="L172" t="s">
        <v>259</v>
      </c>
      <c r="M172" t="s">
        <v>218</v>
      </c>
      <c r="N172" s="58">
        <v>45000</v>
      </c>
      <c r="P172">
        <v>0</v>
      </c>
      <c r="Q172">
        <v>0</v>
      </c>
      <c r="R172" t="s">
        <v>261</v>
      </c>
      <c r="S172" s="50">
        <v>45915</v>
      </c>
      <c r="T172" s="50">
        <v>46279</v>
      </c>
      <c r="U172" s="50">
        <v>46279</v>
      </c>
      <c r="V172" t="s">
        <v>219</v>
      </c>
      <c r="Y172" t="s">
        <v>218</v>
      </c>
      <c r="Z172" t="s">
        <v>218</v>
      </c>
      <c r="AA172" t="s">
        <v>218</v>
      </c>
      <c r="AB172" t="s">
        <v>218</v>
      </c>
      <c r="AC172" t="s">
        <v>218</v>
      </c>
      <c r="AE172" t="s">
        <v>218</v>
      </c>
      <c r="AF172" t="s">
        <v>657</v>
      </c>
      <c r="AG172" t="s">
        <v>304</v>
      </c>
      <c r="AH172" t="s">
        <v>265</v>
      </c>
    </row>
    <row r="173" spans="1:34" x14ac:dyDescent="0.2">
      <c r="A173" t="s">
        <v>527</v>
      </c>
      <c r="B173" t="s">
        <v>217</v>
      </c>
      <c r="C173" t="s">
        <v>282</v>
      </c>
      <c r="D173" t="s">
        <v>695</v>
      </c>
      <c r="E173" t="s">
        <v>276</v>
      </c>
      <c r="F173" t="s">
        <v>218</v>
      </c>
      <c r="G173" t="s">
        <v>218</v>
      </c>
      <c r="H173" t="s">
        <v>20</v>
      </c>
      <c r="I173" t="s">
        <v>626</v>
      </c>
      <c r="J173" t="s">
        <v>218</v>
      </c>
      <c r="K173" t="s">
        <v>218</v>
      </c>
      <c r="L173" t="s">
        <v>259</v>
      </c>
      <c r="M173" t="s">
        <v>218</v>
      </c>
      <c r="O173" s="58">
        <v>6000</v>
      </c>
      <c r="P173">
        <v>0</v>
      </c>
      <c r="Q173">
        <v>0</v>
      </c>
      <c r="R173" t="s">
        <v>261</v>
      </c>
      <c r="S173" s="50">
        <v>44743</v>
      </c>
      <c r="T173" s="50">
        <v>44903</v>
      </c>
      <c r="U173" s="50">
        <v>44903</v>
      </c>
      <c r="V173" t="s">
        <v>282</v>
      </c>
      <c r="Y173" t="s">
        <v>218</v>
      </c>
      <c r="Z173" t="s">
        <v>218</v>
      </c>
      <c r="AA173" t="s">
        <v>218</v>
      </c>
      <c r="AB173" t="s">
        <v>218</v>
      </c>
      <c r="AC173" t="s">
        <v>218</v>
      </c>
      <c r="AE173" t="s">
        <v>218</v>
      </c>
      <c r="AF173" t="s">
        <v>528</v>
      </c>
      <c r="AG173" t="s">
        <v>322</v>
      </c>
      <c r="AH173" t="s">
        <v>265</v>
      </c>
    </row>
    <row r="174" spans="1:34" x14ac:dyDescent="0.2">
      <c r="A174" t="s">
        <v>529</v>
      </c>
      <c r="B174" t="s">
        <v>217</v>
      </c>
      <c r="C174" t="s">
        <v>282</v>
      </c>
      <c r="D174" t="s">
        <v>695</v>
      </c>
      <c r="E174" t="s">
        <v>276</v>
      </c>
      <c r="F174" t="s">
        <v>218</v>
      </c>
      <c r="G174" t="s">
        <v>218</v>
      </c>
      <c r="H174" t="s">
        <v>20</v>
      </c>
      <c r="I174" t="s">
        <v>637</v>
      </c>
      <c r="J174" t="s">
        <v>218</v>
      </c>
      <c r="K174" t="s">
        <v>218</v>
      </c>
      <c r="L174" t="s">
        <v>259</v>
      </c>
      <c r="M174" t="s">
        <v>218</v>
      </c>
      <c r="P174">
        <v>0</v>
      </c>
      <c r="Q174">
        <v>0</v>
      </c>
      <c r="R174" t="s">
        <v>261</v>
      </c>
      <c r="S174" s="50">
        <v>44835</v>
      </c>
      <c r="T174" s="50">
        <v>45016</v>
      </c>
      <c r="U174" s="50">
        <v>45016</v>
      </c>
      <c r="V174" t="s">
        <v>282</v>
      </c>
      <c r="Y174" t="s">
        <v>218</v>
      </c>
      <c r="Z174" t="s">
        <v>218</v>
      </c>
      <c r="AA174" t="s">
        <v>218</v>
      </c>
      <c r="AB174" t="s">
        <v>218</v>
      </c>
      <c r="AC174" t="s">
        <v>218</v>
      </c>
      <c r="AE174" t="s">
        <v>218</v>
      </c>
      <c r="AF174" t="s">
        <v>530</v>
      </c>
      <c r="AG174" t="s">
        <v>459</v>
      </c>
      <c r="AH174" t="s">
        <v>265</v>
      </c>
    </row>
    <row r="175" spans="1:34" x14ac:dyDescent="0.2">
      <c r="A175" t="s">
        <v>531</v>
      </c>
      <c r="B175" t="s">
        <v>217</v>
      </c>
      <c r="C175" t="s">
        <v>282</v>
      </c>
      <c r="D175" t="s">
        <v>695</v>
      </c>
      <c r="E175" t="s">
        <v>276</v>
      </c>
      <c r="F175" t="s">
        <v>218</v>
      </c>
      <c r="G175" t="s">
        <v>218</v>
      </c>
      <c r="H175" t="s">
        <v>20</v>
      </c>
      <c r="I175" t="s">
        <v>258</v>
      </c>
      <c r="J175" t="s">
        <v>218</v>
      </c>
      <c r="K175" t="s">
        <v>218</v>
      </c>
      <c r="L175" t="s">
        <v>268</v>
      </c>
      <c r="M175" t="s">
        <v>218</v>
      </c>
      <c r="P175">
        <v>0</v>
      </c>
      <c r="Q175">
        <v>0</v>
      </c>
      <c r="R175" t="s">
        <v>261</v>
      </c>
      <c r="S175" s="50">
        <v>44196</v>
      </c>
      <c r="T175" s="50">
        <v>44286</v>
      </c>
      <c r="U175" s="50">
        <v>44286</v>
      </c>
      <c r="V175" t="s">
        <v>282</v>
      </c>
      <c r="Y175" t="s">
        <v>218</v>
      </c>
      <c r="Z175" t="s">
        <v>218</v>
      </c>
      <c r="AA175" t="s">
        <v>218</v>
      </c>
      <c r="AB175" t="s">
        <v>218</v>
      </c>
      <c r="AC175" t="s">
        <v>218</v>
      </c>
      <c r="AE175" t="s">
        <v>218</v>
      </c>
      <c r="AF175" t="s">
        <v>532</v>
      </c>
      <c r="AG175" t="s">
        <v>462</v>
      </c>
      <c r="AH175" t="s">
        <v>265</v>
      </c>
    </row>
    <row r="176" spans="1:34" x14ac:dyDescent="0.2">
      <c r="A176" t="s">
        <v>533</v>
      </c>
      <c r="B176" t="s">
        <v>217</v>
      </c>
      <c r="C176" t="s">
        <v>634</v>
      </c>
      <c r="D176" t="s">
        <v>695</v>
      </c>
      <c r="E176" t="s">
        <v>276</v>
      </c>
      <c r="F176" t="s">
        <v>218</v>
      </c>
      <c r="G176" t="s">
        <v>218</v>
      </c>
      <c r="H176" t="s">
        <v>20</v>
      </c>
      <c r="I176" t="s">
        <v>637</v>
      </c>
      <c r="J176" t="s">
        <v>218</v>
      </c>
      <c r="K176" t="s">
        <v>218</v>
      </c>
      <c r="L176" t="s">
        <v>259</v>
      </c>
      <c r="M176" t="s">
        <v>218</v>
      </c>
      <c r="O176" s="58">
        <v>50000</v>
      </c>
      <c r="P176">
        <v>0</v>
      </c>
      <c r="Q176">
        <v>0</v>
      </c>
      <c r="R176" t="s">
        <v>261</v>
      </c>
      <c r="S176" s="50">
        <v>44317</v>
      </c>
      <c r="T176" s="50">
        <v>44490</v>
      </c>
      <c r="U176" s="50">
        <v>44490</v>
      </c>
      <c r="V176" t="s">
        <v>219</v>
      </c>
      <c r="Y176" t="s">
        <v>218</v>
      </c>
      <c r="Z176" t="s">
        <v>218</v>
      </c>
      <c r="AA176" t="s">
        <v>218</v>
      </c>
      <c r="AB176" t="s">
        <v>218</v>
      </c>
      <c r="AC176" t="s">
        <v>218</v>
      </c>
      <c r="AE176" t="s">
        <v>218</v>
      </c>
      <c r="AF176" t="s">
        <v>534</v>
      </c>
      <c r="AG176" t="s">
        <v>466</v>
      </c>
      <c r="AH176" t="s">
        <v>265</v>
      </c>
    </row>
    <row r="177" spans="1:34" x14ac:dyDescent="0.2">
      <c r="A177" t="s">
        <v>94</v>
      </c>
      <c r="B177" t="s">
        <v>266</v>
      </c>
      <c r="C177" t="s">
        <v>256</v>
      </c>
      <c r="D177" t="s">
        <v>256</v>
      </c>
      <c r="E177" t="s">
        <v>267</v>
      </c>
      <c r="F177" t="s">
        <v>144</v>
      </c>
      <c r="G177" t="s">
        <v>218</v>
      </c>
      <c r="H177" t="s">
        <v>85</v>
      </c>
      <c r="I177" t="s">
        <v>617</v>
      </c>
      <c r="J177" t="s">
        <v>60</v>
      </c>
      <c r="K177" t="s">
        <v>207</v>
      </c>
      <c r="L177" t="s">
        <v>268</v>
      </c>
      <c r="M177" t="s">
        <v>218</v>
      </c>
      <c r="N177" s="58">
        <v>288000</v>
      </c>
      <c r="P177">
        <v>0</v>
      </c>
      <c r="Q177">
        <v>0</v>
      </c>
      <c r="R177" t="s">
        <v>261</v>
      </c>
      <c r="S177" s="50">
        <v>45565</v>
      </c>
      <c r="T177" s="50">
        <v>47390</v>
      </c>
      <c r="U177" s="50">
        <v>47390</v>
      </c>
      <c r="V177" t="s">
        <v>218</v>
      </c>
      <c r="Y177" t="s">
        <v>218</v>
      </c>
      <c r="Z177" t="s">
        <v>218</v>
      </c>
      <c r="AA177" t="s">
        <v>218</v>
      </c>
      <c r="AB177" t="s">
        <v>218</v>
      </c>
      <c r="AC177" t="s">
        <v>218</v>
      </c>
      <c r="AE177" t="s">
        <v>294</v>
      </c>
      <c r="AF177" t="s">
        <v>535</v>
      </c>
      <c r="AG177" t="s">
        <v>278</v>
      </c>
      <c r="AH177" t="s">
        <v>514</v>
      </c>
    </row>
    <row r="178" spans="1:34" x14ac:dyDescent="0.2">
      <c r="A178" t="s">
        <v>94</v>
      </c>
      <c r="B178" t="s">
        <v>217</v>
      </c>
      <c r="C178" t="s">
        <v>256</v>
      </c>
      <c r="D178" t="s">
        <v>256</v>
      </c>
      <c r="E178" t="s">
        <v>267</v>
      </c>
      <c r="F178" t="s">
        <v>144</v>
      </c>
      <c r="G178" t="s">
        <v>614</v>
      </c>
      <c r="H178" t="s">
        <v>32</v>
      </c>
      <c r="I178" t="s">
        <v>617</v>
      </c>
      <c r="J178" t="s">
        <v>60</v>
      </c>
      <c r="K178" t="s">
        <v>207</v>
      </c>
      <c r="L178" t="s">
        <v>268</v>
      </c>
      <c r="M178" t="s">
        <v>273</v>
      </c>
      <c r="N178" s="58">
        <v>1137750</v>
      </c>
      <c r="P178">
        <v>13000</v>
      </c>
      <c r="Q178">
        <v>0</v>
      </c>
      <c r="R178" t="s">
        <v>261</v>
      </c>
      <c r="S178" s="50">
        <v>45133</v>
      </c>
      <c r="T178" s="50">
        <v>47390</v>
      </c>
      <c r="U178" s="50">
        <v>47390</v>
      </c>
      <c r="V178" t="s">
        <v>602</v>
      </c>
      <c r="W178" s="50">
        <v>45623</v>
      </c>
      <c r="Y178" t="s">
        <v>27</v>
      </c>
      <c r="Z178" t="s">
        <v>27</v>
      </c>
      <c r="AA178" t="s">
        <v>607</v>
      </c>
      <c r="AB178" t="s">
        <v>27</v>
      </c>
      <c r="AC178" t="s">
        <v>218</v>
      </c>
      <c r="AD178" s="50">
        <v>45846</v>
      </c>
      <c r="AE178" t="s">
        <v>274</v>
      </c>
      <c r="AF178" t="s">
        <v>535</v>
      </c>
      <c r="AG178" t="s">
        <v>278</v>
      </c>
      <c r="AH178" t="s">
        <v>514</v>
      </c>
    </row>
    <row r="179" spans="1:34" x14ac:dyDescent="0.2">
      <c r="A179" t="s">
        <v>536</v>
      </c>
      <c r="B179" t="s">
        <v>217</v>
      </c>
      <c r="C179" t="s">
        <v>282</v>
      </c>
      <c r="D179" t="s">
        <v>695</v>
      </c>
      <c r="E179" t="s">
        <v>276</v>
      </c>
      <c r="F179" t="s">
        <v>218</v>
      </c>
      <c r="G179" t="s">
        <v>218</v>
      </c>
      <c r="H179" t="s">
        <v>20</v>
      </c>
      <c r="I179" t="s">
        <v>601</v>
      </c>
      <c r="J179" t="s">
        <v>49</v>
      </c>
      <c r="K179" t="s">
        <v>34</v>
      </c>
      <c r="L179" t="s">
        <v>268</v>
      </c>
      <c r="M179" t="s">
        <v>218</v>
      </c>
      <c r="P179">
        <v>0</v>
      </c>
      <c r="Q179">
        <v>40</v>
      </c>
      <c r="R179" t="s">
        <v>261</v>
      </c>
      <c r="S179" s="50">
        <v>44902</v>
      </c>
      <c r="T179" s="50">
        <v>45138</v>
      </c>
      <c r="U179" s="50">
        <v>45138</v>
      </c>
      <c r="V179" t="s">
        <v>282</v>
      </c>
      <c r="Y179" t="s">
        <v>218</v>
      </c>
      <c r="Z179" t="s">
        <v>218</v>
      </c>
      <c r="AA179" t="s">
        <v>218</v>
      </c>
      <c r="AB179" t="s">
        <v>218</v>
      </c>
      <c r="AC179" t="s">
        <v>218</v>
      </c>
      <c r="AD179" s="50">
        <v>45135</v>
      </c>
      <c r="AE179" t="s">
        <v>218</v>
      </c>
      <c r="AF179" t="s">
        <v>537</v>
      </c>
      <c r="AG179" t="s">
        <v>278</v>
      </c>
      <c r="AH179" t="s">
        <v>296</v>
      </c>
    </row>
    <row r="180" spans="1:34" x14ac:dyDescent="0.2">
      <c r="A180" t="s">
        <v>538</v>
      </c>
      <c r="B180" t="s">
        <v>217</v>
      </c>
      <c r="C180" t="s">
        <v>606</v>
      </c>
      <c r="D180" t="s">
        <v>695</v>
      </c>
      <c r="E180" t="s">
        <v>276</v>
      </c>
      <c r="F180" t="s">
        <v>218</v>
      </c>
      <c r="G180" t="s">
        <v>218</v>
      </c>
      <c r="H180" t="s">
        <v>20</v>
      </c>
      <c r="I180" t="s">
        <v>258</v>
      </c>
      <c r="J180" t="s">
        <v>218</v>
      </c>
      <c r="K180" t="s">
        <v>218</v>
      </c>
      <c r="L180" t="s">
        <v>268</v>
      </c>
      <c r="M180" t="s">
        <v>218</v>
      </c>
      <c r="O180" s="58">
        <v>342000</v>
      </c>
      <c r="P180">
        <v>0</v>
      </c>
      <c r="Q180">
        <v>0</v>
      </c>
      <c r="R180" t="s">
        <v>261</v>
      </c>
      <c r="S180" s="50">
        <v>44941</v>
      </c>
      <c r="T180" s="50">
        <v>45138</v>
      </c>
      <c r="U180" s="50">
        <v>45138</v>
      </c>
      <c r="V180" t="s">
        <v>219</v>
      </c>
      <c r="Y180" t="s">
        <v>218</v>
      </c>
      <c r="Z180" t="s">
        <v>218</v>
      </c>
      <c r="AA180" t="s">
        <v>218</v>
      </c>
      <c r="AB180" t="s">
        <v>218</v>
      </c>
      <c r="AC180" t="s">
        <v>218</v>
      </c>
      <c r="AE180" t="s">
        <v>218</v>
      </c>
      <c r="AF180" t="s">
        <v>539</v>
      </c>
      <c r="AG180" t="s">
        <v>540</v>
      </c>
      <c r="AH180" t="s">
        <v>265</v>
      </c>
    </row>
    <row r="181" spans="1:34" x14ac:dyDescent="0.2">
      <c r="A181" t="s">
        <v>96</v>
      </c>
      <c r="B181" t="s">
        <v>266</v>
      </c>
      <c r="C181" t="s">
        <v>256</v>
      </c>
      <c r="D181" t="s">
        <v>256</v>
      </c>
      <c r="E181" t="s">
        <v>267</v>
      </c>
      <c r="F181" t="s">
        <v>149</v>
      </c>
      <c r="G181" t="s">
        <v>218</v>
      </c>
      <c r="H181" t="s">
        <v>85</v>
      </c>
      <c r="I181" t="s">
        <v>402</v>
      </c>
      <c r="J181" t="s">
        <v>694</v>
      </c>
      <c r="K181" t="s">
        <v>118</v>
      </c>
      <c r="L181" t="s">
        <v>268</v>
      </c>
      <c r="M181" t="s">
        <v>218</v>
      </c>
      <c r="N181" s="58">
        <v>75000</v>
      </c>
      <c r="P181">
        <v>0</v>
      </c>
      <c r="Q181">
        <v>0</v>
      </c>
      <c r="R181" t="s">
        <v>305</v>
      </c>
      <c r="S181" s="50">
        <v>45271</v>
      </c>
      <c r="T181" s="50">
        <v>46387</v>
      </c>
      <c r="U181" s="50">
        <v>46387</v>
      </c>
      <c r="V181" t="s">
        <v>218</v>
      </c>
      <c r="Y181" t="s">
        <v>218</v>
      </c>
      <c r="Z181" t="s">
        <v>218</v>
      </c>
      <c r="AA181" t="s">
        <v>218</v>
      </c>
      <c r="AB181" t="s">
        <v>218</v>
      </c>
      <c r="AC181" t="s">
        <v>218</v>
      </c>
      <c r="AE181" t="s">
        <v>274</v>
      </c>
      <c r="AF181" t="s">
        <v>541</v>
      </c>
      <c r="AG181" t="s">
        <v>363</v>
      </c>
      <c r="AH181" t="s">
        <v>265</v>
      </c>
    </row>
    <row r="182" spans="1:34" x14ac:dyDescent="0.2">
      <c r="A182" t="s">
        <v>96</v>
      </c>
      <c r="B182" t="s">
        <v>217</v>
      </c>
      <c r="C182" t="s">
        <v>256</v>
      </c>
      <c r="D182" t="s">
        <v>256</v>
      </c>
      <c r="E182" t="s">
        <v>267</v>
      </c>
      <c r="F182" t="s">
        <v>144</v>
      </c>
      <c r="G182" t="s">
        <v>349</v>
      </c>
      <c r="H182" t="s">
        <v>23</v>
      </c>
      <c r="I182" t="s">
        <v>402</v>
      </c>
      <c r="J182" t="s">
        <v>694</v>
      </c>
      <c r="K182" t="s">
        <v>118</v>
      </c>
      <c r="L182" t="s">
        <v>268</v>
      </c>
      <c r="M182" t="s">
        <v>316</v>
      </c>
      <c r="N182" s="58">
        <v>255000</v>
      </c>
      <c r="O182" s="58">
        <v>179113</v>
      </c>
      <c r="P182">
        <v>2113</v>
      </c>
      <c r="Q182">
        <v>0</v>
      </c>
      <c r="R182" t="s">
        <v>323</v>
      </c>
      <c r="S182" s="50">
        <v>45031</v>
      </c>
      <c r="T182" s="50">
        <v>46387</v>
      </c>
      <c r="U182" s="50">
        <v>46387</v>
      </c>
      <c r="V182" t="s">
        <v>602</v>
      </c>
      <c r="W182" s="50">
        <v>45881</v>
      </c>
      <c r="Y182" t="s">
        <v>27</v>
      </c>
      <c r="Z182" t="s">
        <v>27</v>
      </c>
      <c r="AA182" t="s">
        <v>607</v>
      </c>
      <c r="AB182" t="s">
        <v>57</v>
      </c>
      <c r="AC182" t="s">
        <v>542</v>
      </c>
      <c r="AD182" s="50">
        <v>45588</v>
      </c>
      <c r="AE182" t="s">
        <v>294</v>
      </c>
      <c r="AF182" t="s">
        <v>541</v>
      </c>
      <c r="AG182" t="s">
        <v>363</v>
      </c>
      <c r="AH182" t="s">
        <v>265</v>
      </c>
    </row>
    <row r="183" spans="1:34" x14ac:dyDescent="0.2">
      <c r="A183" t="s">
        <v>201</v>
      </c>
      <c r="B183" t="s">
        <v>217</v>
      </c>
      <c r="C183" t="s">
        <v>256</v>
      </c>
      <c r="D183" t="s">
        <v>256</v>
      </c>
      <c r="E183" t="s">
        <v>257</v>
      </c>
      <c r="F183" t="s">
        <v>144</v>
      </c>
      <c r="G183" t="s">
        <v>697</v>
      </c>
      <c r="H183" t="s">
        <v>20</v>
      </c>
      <c r="I183" t="s">
        <v>258</v>
      </c>
      <c r="J183" t="s">
        <v>60</v>
      </c>
      <c r="K183" t="s">
        <v>116</v>
      </c>
      <c r="L183" t="s">
        <v>268</v>
      </c>
      <c r="M183" t="s">
        <v>292</v>
      </c>
      <c r="N183" s="58">
        <v>95000</v>
      </c>
      <c r="O183" s="58">
        <v>225000</v>
      </c>
      <c r="P183">
        <v>1000</v>
      </c>
      <c r="Q183">
        <v>0</v>
      </c>
      <c r="R183" t="s">
        <v>261</v>
      </c>
      <c r="S183" s="50">
        <v>45930</v>
      </c>
      <c r="T183" s="50">
        <v>46294</v>
      </c>
      <c r="U183" s="50">
        <v>46294</v>
      </c>
      <c r="V183" t="s">
        <v>219</v>
      </c>
      <c r="Y183" t="s">
        <v>218</v>
      </c>
      <c r="Z183" t="s">
        <v>218</v>
      </c>
      <c r="AA183" t="s">
        <v>218</v>
      </c>
      <c r="AB183" t="s">
        <v>218</v>
      </c>
      <c r="AC183" t="s">
        <v>218</v>
      </c>
      <c r="AE183" t="s">
        <v>274</v>
      </c>
      <c r="AF183" t="s">
        <v>624</v>
      </c>
      <c r="AG183" t="s">
        <v>625</v>
      </c>
      <c r="AH183" t="s">
        <v>265</v>
      </c>
    </row>
    <row r="184" spans="1:34" x14ac:dyDescent="0.2">
      <c r="A184" t="s">
        <v>202</v>
      </c>
      <c r="B184" t="s">
        <v>217</v>
      </c>
      <c r="C184" t="s">
        <v>256</v>
      </c>
      <c r="D184" t="s">
        <v>256</v>
      </c>
      <c r="E184" t="s">
        <v>267</v>
      </c>
      <c r="F184" t="s">
        <v>144</v>
      </c>
      <c r="G184" t="s">
        <v>614</v>
      </c>
      <c r="H184" t="s">
        <v>20</v>
      </c>
      <c r="I184" t="s">
        <v>617</v>
      </c>
      <c r="J184" t="s">
        <v>179</v>
      </c>
      <c r="K184" t="s">
        <v>207</v>
      </c>
      <c r="L184" t="s">
        <v>268</v>
      </c>
      <c r="M184" t="s">
        <v>273</v>
      </c>
      <c r="N184" s="58">
        <v>754667</v>
      </c>
      <c r="P184">
        <v>9747</v>
      </c>
      <c r="Q184">
        <v>2137</v>
      </c>
      <c r="R184" t="s">
        <v>323</v>
      </c>
      <c r="S184" s="50">
        <v>44593</v>
      </c>
      <c r="T184" s="50">
        <v>46933</v>
      </c>
      <c r="U184" s="50">
        <v>46933</v>
      </c>
      <c r="V184" t="s">
        <v>602</v>
      </c>
      <c r="W184" s="50">
        <v>45838</v>
      </c>
      <c r="Y184" t="s">
        <v>26</v>
      </c>
      <c r="Z184" t="s">
        <v>26</v>
      </c>
      <c r="AA184" t="s">
        <v>607</v>
      </c>
      <c r="AB184" t="s">
        <v>27</v>
      </c>
      <c r="AC184" t="s">
        <v>218</v>
      </c>
      <c r="AD184" s="50">
        <v>45989</v>
      </c>
      <c r="AE184" t="s">
        <v>294</v>
      </c>
      <c r="AF184" t="s">
        <v>543</v>
      </c>
      <c r="AG184" t="s">
        <v>304</v>
      </c>
      <c r="AH184" t="s">
        <v>265</v>
      </c>
    </row>
    <row r="185" spans="1:34" x14ac:dyDescent="0.2">
      <c r="A185" t="s">
        <v>97</v>
      </c>
      <c r="B185" t="s">
        <v>266</v>
      </c>
      <c r="C185" t="s">
        <v>302</v>
      </c>
      <c r="D185" t="s">
        <v>695</v>
      </c>
      <c r="E185" t="s">
        <v>267</v>
      </c>
      <c r="F185" t="s">
        <v>161</v>
      </c>
      <c r="G185" t="s">
        <v>218</v>
      </c>
      <c r="H185" t="s">
        <v>85</v>
      </c>
      <c r="I185" t="s">
        <v>626</v>
      </c>
      <c r="J185" t="s">
        <v>178</v>
      </c>
      <c r="K185" t="s">
        <v>118</v>
      </c>
      <c r="L185" t="s">
        <v>259</v>
      </c>
      <c r="M185" t="s">
        <v>218</v>
      </c>
      <c r="P185">
        <v>0</v>
      </c>
      <c r="Q185">
        <v>0</v>
      </c>
      <c r="R185" t="s">
        <v>383</v>
      </c>
      <c r="S185" s="50">
        <v>45383</v>
      </c>
      <c r="T185" s="50">
        <v>46022</v>
      </c>
      <c r="U185" s="50">
        <v>46234</v>
      </c>
      <c r="V185" t="s">
        <v>602</v>
      </c>
      <c r="W185" s="50">
        <v>45657</v>
      </c>
      <c r="X185" s="50">
        <v>46022</v>
      </c>
      <c r="Y185" t="s">
        <v>218</v>
      </c>
      <c r="Z185" t="s">
        <v>218</v>
      </c>
      <c r="AA185" t="s">
        <v>218</v>
      </c>
      <c r="AB185" t="s">
        <v>218</v>
      </c>
      <c r="AC185" t="s">
        <v>218</v>
      </c>
      <c r="AE185" t="s">
        <v>294</v>
      </c>
      <c r="AF185" t="s">
        <v>544</v>
      </c>
      <c r="AG185" t="s">
        <v>341</v>
      </c>
      <c r="AH185" t="s">
        <v>265</v>
      </c>
    </row>
    <row r="186" spans="1:34" x14ac:dyDescent="0.2">
      <c r="A186" t="s">
        <v>97</v>
      </c>
      <c r="B186" t="s">
        <v>217</v>
      </c>
      <c r="C186" t="s">
        <v>256</v>
      </c>
      <c r="D186" t="s">
        <v>256</v>
      </c>
      <c r="E186" t="s">
        <v>267</v>
      </c>
      <c r="F186" t="s">
        <v>161</v>
      </c>
      <c r="G186" t="s">
        <v>319</v>
      </c>
      <c r="H186" t="s">
        <v>23</v>
      </c>
      <c r="I186" t="s">
        <v>626</v>
      </c>
      <c r="J186" t="s">
        <v>178</v>
      </c>
      <c r="K186" t="s">
        <v>115</v>
      </c>
      <c r="L186" t="s">
        <v>259</v>
      </c>
      <c r="M186" t="s">
        <v>316</v>
      </c>
      <c r="N186" s="58">
        <v>101475</v>
      </c>
      <c r="O186" s="58">
        <v>5198</v>
      </c>
      <c r="P186">
        <v>2591</v>
      </c>
      <c r="Q186">
        <v>52</v>
      </c>
      <c r="R186" t="s">
        <v>261</v>
      </c>
      <c r="S186" s="50">
        <v>44409</v>
      </c>
      <c r="T186" s="50">
        <v>48060</v>
      </c>
      <c r="U186" s="50">
        <v>48060</v>
      </c>
      <c r="V186" t="s">
        <v>218</v>
      </c>
      <c r="Y186" t="s">
        <v>26</v>
      </c>
      <c r="Z186" t="s">
        <v>27</v>
      </c>
      <c r="AA186" t="s">
        <v>57</v>
      </c>
      <c r="AB186" t="s">
        <v>27</v>
      </c>
      <c r="AC186" t="s">
        <v>218</v>
      </c>
      <c r="AD186" s="50">
        <v>45917</v>
      </c>
      <c r="AE186" t="s">
        <v>274</v>
      </c>
      <c r="AF186" t="s">
        <v>544</v>
      </c>
      <c r="AG186" t="s">
        <v>341</v>
      </c>
      <c r="AH186" t="s">
        <v>265</v>
      </c>
    </row>
    <row r="187" spans="1:34" x14ac:dyDescent="0.2">
      <c r="A187" t="s">
        <v>203</v>
      </c>
      <c r="B187" t="s">
        <v>217</v>
      </c>
      <c r="C187" t="s">
        <v>256</v>
      </c>
      <c r="D187" t="s">
        <v>256</v>
      </c>
      <c r="E187" t="s">
        <v>267</v>
      </c>
      <c r="F187" t="s">
        <v>161</v>
      </c>
      <c r="G187" t="s">
        <v>614</v>
      </c>
      <c r="H187" t="s">
        <v>23</v>
      </c>
      <c r="I187" t="s">
        <v>626</v>
      </c>
      <c r="J187" t="s">
        <v>179</v>
      </c>
      <c r="K187" t="s">
        <v>207</v>
      </c>
      <c r="L187" t="s">
        <v>259</v>
      </c>
      <c r="M187" t="s">
        <v>292</v>
      </c>
      <c r="N187" s="58">
        <v>54000</v>
      </c>
      <c r="O187" s="58">
        <v>5400</v>
      </c>
      <c r="P187">
        <v>143</v>
      </c>
      <c r="Q187">
        <v>0</v>
      </c>
      <c r="R187" t="s">
        <v>261</v>
      </c>
      <c r="S187" s="50">
        <v>45681</v>
      </c>
      <c r="T187" s="50">
        <v>47848</v>
      </c>
      <c r="U187" s="50">
        <v>47848</v>
      </c>
      <c r="V187" t="s">
        <v>602</v>
      </c>
      <c r="W187" s="50">
        <v>46009</v>
      </c>
      <c r="Y187" t="s">
        <v>26</v>
      </c>
      <c r="Z187" t="s">
        <v>26</v>
      </c>
      <c r="AA187" t="s">
        <v>27</v>
      </c>
      <c r="AB187" t="s">
        <v>27</v>
      </c>
      <c r="AC187" t="s">
        <v>218</v>
      </c>
      <c r="AD187" s="50">
        <v>45853</v>
      </c>
      <c r="AE187" t="s">
        <v>274</v>
      </c>
      <c r="AF187" t="s">
        <v>545</v>
      </c>
      <c r="AG187" t="s">
        <v>462</v>
      </c>
      <c r="AH187" t="s">
        <v>265</v>
      </c>
    </row>
    <row r="188" spans="1:34" x14ac:dyDescent="0.2">
      <c r="A188" t="s">
        <v>546</v>
      </c>
      <c r="B188" t="s">
        <v>217</v>
      </c>
      <c r="C188" t="s">
        <v>282</v>
      </c>
      <c r="D188" t="s">
        <v>695</v>
      </c>
      <c r="E188" t="s">
        <v>276</v>
      </c>
      <c r="F188" t="s">
        <v>218</v>
      </c>
      <c r="G188" t="s">
        <v>218</v>
      </c>
      <c r="H188" t="s">
        <v>20</v>
      </c>
      <c r="I188" t="s">
        <v>637</v>
      </c>
      <c r="J188" t="s">
        <v>218</v>
      </c>
      <c r="K188" t="s">
        <v>218</v>
      </c>
      <c r="L188" t="s">
        <v>259</v>
      </c>
      <c r="M188" t="s">
        <v>218</v>
      </c>
      <c r="P188">
        <v>0</v>
      </c>
      <c r="Q188">
        <v>0</v>
      </c>
      <c r="R188" t="s">
        <v>261</v>
      </c>
      <c r="S188" s="50">
        <v>44743</v>
      </c>
      <c r="T188" s="50">
        <v>44926</v>
      </c>
      <c r="U188" s="50">
        <v>44926</v>
      </c>
      <c r="V188" t="s">
        <v>282</v>
      </c>
      <c r="Y188" t="s">
        <v>218</v>
      </c>
      <c r="Z188" t="s">
        <v>218</v>
      </c>
      <c r="AA188" t="s">
        <v>218</v>
      </c>
      <c r="AB188" t="s">
        <v>218</v>
      </c>
      <c r="AC188" t="s">
        <v>218</v>
      </c>
      <c r="AE188" t="s">
        <v>218</v>
      </c>
      <c r="AF188" t="s">
        <v>547</v>
      </c>
      <c r="AG188" t="s">
        <v>328</v>
      </c>
      <c r="AH188" t="s">
        <v>265</v>
      </c>
    </row>
    <row r="189" spans="1:34" x14ac:dyDescent="0.2">
      <c r="A189" t="s">
        <v>548</v>
      </c>
      <c r="B189" t="s">
        <v>217</v>
      </c>
      <c r="C189" t="s">
        <v>282</v>
      </c>
      <c r="D189" t="s">
        <v>695</v>
      </c>
      <c r="E189" t="s">
        <v>257</v>
      </c>
      <c r="F189" t="s">
        <v>218</v>
      </c>
      <c r="G189" t="s">
        <v>218</v>
      </c>
      <c r="H189" t="s">
        <v>23</v>
      </c>
      <c r="I189" t="s">
        <v>637</v>
      </c>
      <c r="J189" t="s">
        <v>314</v>
      </c>
      <c r="K189" t="s">
        <v>34</v>
      </c>
      <c r="L189" t="s">
        <v>259</v>
      </c>
      <c r="M189" t="s">
        <v>218</v>
      </c>
      <c r="P189">
        <v>304</v>
      </c>
      <c r="Q189">
        <v>0</v>
      </c>
      <c r="R189" t="s">
        <v>261</v>
      </c>
      <c r="S189" s="50">
        <v>45108</v>
      </c>
      <c r="T189" s="50">
        <v>45505</v>
      </c>
      <c r="U189" s="50">
        <v>45484</v>
      </c>
      <c r="V189" t="s">
        <v>282</v>
      </c>
      <c r="Y189" t="s">
        <v>26</v>
      </c>
      <c r="Z189" t="s">
        <v>27</v>
      </c>
      <c r="AA189" t="s">
        <v>57</v>
      </c>
      <c r="AB189" t="s">
        <v>27</v>
      </c>
      <c r="AC189" t="s">
        <v>218</v>
      </c>
      <c r="AD189" s="50">
        <v>45253</v>
      </c>
      <c r="AE189" t="s">
        <v>307</v>
      </c>
      <c r="AF189" t="s">
        <v>549</v>
      </c>
      <c r="AG189" t="s">
        <v>318</v>
      </c>
      <c r="AH189" t="s">
        <v>265</v>
      </c>
    </row>
    <row r="190" spans="1:34" x14ac:dyDescent="0.2">
      <c r="A190" t="s">
        <v>550</v>
      </c>
      <c r="B190" t="s">
        <v>217</v>
      </c>
      <c r="C190" t="s">
        <v>282</v>
      </c>
      <c r="D190" t="s">
        <v>695</v>
      </c>
      <c r="E190" t="s">
        <v>276</v>
      </c>
      <c r="F190" t="s">
        <v>218</v>
      </c>
      <c r="G190" t="s">
        <v>218</v>
      </c>
      <c r="H190" t="s">
        <v>20</v>
      </c>
      <c r="I190" t="s">
        <v>626</v>
      </c>
      <c r="J190" t="s">
        <v>218</v>
      </c>
      <c r="K190" t="s">
        <v>218</v>
      </c>
      <c r="L190" t="s">
        <v>259</v>
      </c>
      <c r="M190" t="s">
        <v>218</v>
      </c>
      <c r="P190">
        <v>0</v>
      </c>
      <c r="Q190">
        <v>0</v>
      </c>
      <c r="R190" t="s">
        <v>261</v>
      </c>
      <c r="S190" s="50">
        <v>44713</v>
      </c>
      <c r="T190" s="50">
        <v>44926</v>
      </c>
      <c r="U190" s="50">
        <v>44926</v>
      </c>
      <c r="V190" t="s">
        <v>282</v>
      </c>
      <c r="Y190" t="s">
        <v>218</v>
      </c>
      <c r="Z190" t="s">
        <v>218</v>
      </c>
      <c r="AA190" t="s">
        <v>218</v>
      </c>
      <c r="AB190" t="s">
        <v>218</v>
      </c>
      <c r="AC190" t="s">
        <v>218</v>
      </c>
      <c r="AE190" t="s">
        <v>218</v>
      </c>
      <c r="AF190" t="s">
        <v>551</v>
      </c>
      <c r="AG190" t="s">
        <v>322</v>
      </c>
      <c r="AH190" t="s">
        <v>265</v>
      </c>
    </row>
    <row r="191" spans="1:34" x14ac:dyDescent="0.2">
      <c r="A191" t="s">
        <v>209</v>
      </c>
      <c r="B191" t="s">
        <v>217</v>
      </c>
      <c r="C191" t="s">
        <v>256</v>
      </c>
      <c r="D191" t="s">
        <v>256</v>
      </c>
      <c r="E191" t="s">
        <v>257</v>
      </c>
      <c r="F191" t="s">
        <v>155</v>
      </c>
      <c r="G191" t="s">
        <v>218</v>
      </c>
      <c r="H191" t="s">
        <v>20</v>
      </c>
      <c r="I191" t="s">
        <v>637</v>
      </c>
      <c r="J191" t="s">
        <v>179</v>
      </c>
      <c r="K191" t="s">
        <v>222</v>
      </c>
      <c r="L191" t="s">
        <v>259</v>
      </c>
      <c r="M191" t="s">
        <v>292</v>
      </c>
      <c r="N191" s="58">
        <v>45000</v>
      </c>
      <c r="O191" s="58">
        <v>42240</v>
      </c>
      <c r="P191">
        <v>250</v>
      </c>
      <c r="Q191">
        <v>0</v>
      </c>
      <c r="R191" t="s">
        <v>261</v>
      </c>
      <c r="S191" s="50">
        <v>45992</v>
      </c>
      <c r="T191" s="50">
        <v>46356</v>
      </c>
      <c r="U191" s="50">
        <v>46356</v>
      </c>
      <c r="V191" t="s">
        <v>219</v>
      </c>
      <c r="Y191" t="s">
        <v>26</v>
      </c>
      <c r="Z191" t="s">
        <v>26</v>
      </c>
      <c r="AA191" t="s">
        <v>607</v>
      </c>
      <c r="AB191" t="s">
        <v>26</v>
      </c>
      <c r="AC191" t="s">
        <v>218</v>
      </c>
      <c r="AE191" t="s">
        <v>262</v>
      </c>
      <c r="AF191" t="s">
        <v>658</v>
      </c>
      <c r="AG191" t="s">
        <v>485</v>
      </c>
      <c r="AH191" t="s">
        <v>265</v>
      </c>
    </row>
    <row r="192" spans="1:34" x14ac:dyDescent="0.2">
      <c r="A192" t="s">
        <v>552</v>
      </c>
      <c r="B192" t="s">
        <v>217</v>
      </c>
      <c r="C192" t="s">
        <v>634</v>
      </c>
      <c r="D192" t="s">
        <v>695</v>
      </c>
      <c r="E192" t="s">
        <v>276</v>
      </c>
      <c r="F192" t="s">
        <v>218</v>
      </c>
      <c r="G192" t="s">
        <v>218</v>
      </c>
      <c r="H192" t="s">
        <v>23</v>
      </c>
      <c r="I192" t="s">
        <v>637</v>
      </c>
      <c r="J192" t="s">
        <v>655</v>
      </c>
      <c r="K192" t="s">
        <v>117</v>
      </c>
      <c r="L192" t="s">
        <v>259</v>
      </c>
      <c r="M192" t="s">
        <v>218</v>
      </c>
      <c r="O192" s="58">
        <v>17100</v>
      </c>
      <c r="P192">
        <v>0</v>
      </c>
      <c r="Q192">
        <v>236</v>
      </c>
      <c r="R192" t="s">
        <v>261</v>
      </c>
      <c r="S192" s="50">
        <v>45030</v>
      </c>
      <c r="T192" s="50">
        <v>45184</v>
      </c>
      <c r="U192" s="50">
        <v>45184</v>
      </c>
      <c r="V192" t="s">
        <v>219</v>
      </c>
      <c r="Y192" t="s">
        <v>26</v>
      </c>
      <c r="Z192" t="s">
        <v>27</v>
      </c>
      <c r="AA192" t="s">
        <v>57</v>
      </c>
      <c r="AB192" t="s">
        <v>57</v>
      </c>
      <c r="AC192" t="s">
        <v>218</v>
      </c>
      <c r="AD192" s="50">
        <v>45184</v>
      </c>
      <c r="AE192" t="s">
        <v>307</v>
      </c>
      <c r="AF192" t="s">
        <v>553</v>
      </c>
      <c r="AG192" t="s">
        <v>271</v>
      </c>
      <c r="AH192" t="s">
        <v>265</v>
      </c>
    </row>
    <row r="193" spans="1:34" x14ac:dyDescent="0.2">
      <c r="A193" t="s">
        <v>554</v>
      </c>
      <c r="B193" t="s">
        <v>217</v>
      </c>
      <c r="C193" t="s">
        <v>634</v>
      </c>
      <c r="D193" t="s">
        <v>695</v>
      </c>
      <c r="E193" t="s">
        <v>276</v>
      </c>
      <c r="F193" t="s">
        <v>218</v>
      </c>
      <c r="G193" t="s">
        <v>218</v>
      </c>
      <c r="H193" t="s">
        <v>20</v>
      </c>
      <c r="I193" t="s">
        <v>320</v>
      </c>
      <c r="J193" t="s">
        <v>218</v>
      </c>
      <c r="K193" t="s">
        <v>218</v>
      </c>
      <c r="L193" t="s">
        <v>259</v>
      </c>
      <c r="M193" t="s">
        <v>218</v>
      </c>
      <c r="O193" s="58">
        <v>15000</v>
      </c>
      <c r="P193">
        <v>0</v>
      </c>
      <c r="Q193">
        <v>0</v>
      </c>
      <c r="R193" t="s">
        <v>261</v>
      </c>
      <c r="S193" s="50">
        <v>44409</v>
      </c>
      <c r="T193" s="50">
        <v>44662</v>
      </c>
      <c r="U193" s="50">
        <v>44662</v>
      </c>
      <c r="V193" t="s">
        <v>219</v>
      </c>
      <c r="Y193" t="s">
        <v>218</v>
      </c>
      <c r="Z193" t="s">
        <v>218</v>
      </c>
      <c r="AA193" t="s">
        <v>218</v>
      </c>
      <c r="AB193" t="s">
        <v>218</v>
      </c>
      <c r="AC193" t="s">
        <v>218</v>
      </c>
      <c r="AE193" t="s">
        <v>218</v>
      </c>
      <c r="AF193" t="s">
        <v>555</v>
      </c>
      <c r="AG193" t="s">
        <v>347</v>
      </c>
      <c r="AH193" t="s">
        <v>265</v>
      </c>
    </row>
    <row r="194" spans="1:34" x14ac:dyDescent="0.2">
      <c r="A194" t="s">
        <v>556</v>
      </c>
      <c r="B194" t="s">
        <v>217</v>
      </c>
      <c r="C194" t="s">
        <v>282</v>
      </c>
      <c r="D194" t="s">
        <v>695</v>
      </c>
      <c r="E194" t="s">
        <v>276</v>
      </c>
      <c r="F194" t="s">
        <v>218</v>
      </c>
      <c r="G194" t="s">
        <v>218</v>
      </c>
      <c r="H194" t="s">
        <v>20</v>
      </c>
      <c r="I194" t="s">
        <v>626</v>
      </c>
      <c r="J194" t="s">
        <v>218</v>
      </c>
      <c r="K194" t="s">
        <v>218</v>
      </c>
      <c r="L194" t="s">
        <v>259</v>
      </c>
      <c r="M194" t="s">
        <v>218</v>
      </c>
      <c r="P194">
        <v>0</v>
      </c>
      <c r="Q194">
        <v>0</v>
      </c>
      <c r="R194" t="s">
        <v>261</v>
      </c>
      <c r="S194" s="50">
        <v>44774</v>
      </c>
      <c r="T194" s="50">
        <v>45000</v>
      </c>
      <c r="U194" s="50">
        <v>45000</v>
      </c>
      <c r="V194" t="s">
        <v>282</v>
      </c>
      <c r="Y194" t="s">
        <v>218</v>
      </c>
      <c r="Z194" t="s">
        <v>218</v>
      </c>
      <c r="AA194" t="s">
        <v>218</v>
      </c>
      <c r="AB194" t="s">
        <v>218</v>
      </c>
      <c r="AC194" t="s">
        <v>218</v>
      </c>
      <c r="AE194" t="s">
        <v>218</v>
      </c>
      <c r="AF194" t="s">
        <v>557</v>
      </c>
      <c r="AG194" t="s">
        <v>334</v>
      </c>
      <c r="AH194" t="s">
        <v>265</v>
      </c>
    </row>
    <row r="195" spans="1:34" x14ac:dyDescent="0.2">
      <c r="A195" t="s">
        <v>204</v>
      </c>
      <c r="B195" t="s">
        <v>217</v>
      </c>
      <c r="C195" t="s">
        <v>256</v>
      </c>
      <c r="D195" t="s">
        <v>256</v>
      </c>
      <c r="E195" t="s">
        <v>267</v>
      </c>
      <c r="F195" t="s">
        <v>144</v>
      </c>
      <c r="G195" t="s">
        <v>614</v>
      </c>
      <c r="H195" t="s">
        <v>23</v>
      </c>
      <c r="I195" t="s">
        <v>626</v>
      </c>
      <c r="J195" t="s">
        <v>53</v>
      </c>
      <c r="K195" t="s">
        <v>118</v>
      </c>
      <c r="L195" t="s">
        <v>259</v>
      </c>
      <c r="M195" t="s">
        <v>292</v>
      </c>
      <c r="N195" s="58">
        <v>350000</v>
      </c>
      <c r="O195" s="58">
        <v>105000</v>
      </c>
      <c r="P195">
        <v>5000</v>
      </c>
      <c r="Q195">
        <v>265</v>
      </c>
      <c r="R195" t="s">
        <v>269</v>
      </c>
      <c r="S195" s="50">
        <v>45866</v>
      </c>
      <c r="T195" s="50">
        <v>46962</v>
      </c>
      <c r="U195" s="50">
        <v>46901</v>
      </c>
      <c r="V195" t="s">
        <v>218</v>
      </c>
      <c r="Y195" t="s">
        <v>26</v>
      </c>
      <c r="Z195" t="s">
        <v>27</v>
      </c>
      <c r="AA195" t="s">
        <v>27</v>
      </c>
      <c r="AB195" t="s">
        <v>27</v>
      </c>
      <c r="AC195" t="s">
        <v>713</v>
      </c>
      <c r="AD195" s="50">
        <v>46055</v>
      </c>
      <c r="AE195" t="s">
        <v>274</v>
      </c>
      <c r="AF195" t="s">
        <v>627</v>
      </c>
      <c r="AG195" t="s">
        <v>415</v>
      </c>
      <c r="AH195" t="s">
        <v>265</v>
      </c>
    </row>
    <row r="196" spans="1:34" x14ac:dyDescent="0.2">
      <c r="A196" t="s">
        <v>98</v>
      </c>
      <c r="B196" t="s">
        <v>266</v>
      </c>
      <c r="C196" t="s">
        <v>256</v>
      </c>
      <c r="D196" t="s">
        <v>256</v>
      </c>
      <c r="E196" t="s">
        <v>267</v>
      </c>
      <c r="F196" t="s">
        <v>161</v>
      </c>
      <c r="G196" t="s">
        <v>218</v>
      </c>
      <c r="H196" t="s">
        <v>85</v>
      </c>
      <c r="I196" t="s">
        <v>626</v>
      </c>
      <c r="J196" t="s">
        <v>178</v>
      </c>
      <c r="K196" t="s">
        <v>699</v>
      </c>
      <c r="L196" t="s">
        <v>259</v>
      </c>
      <c r="M196" t="s">
        <v>218</v>
      </c>
      <c r="N196" s="58">
        <v>20000</v>
      </c>
      <c r="P196">
        <v>0</v>
      </c>
      <c r="Q196">
        <v>0</v>
      </c>
      <c r="R196" t="s">
        <v>383</v>
      </c>
      <c r="S196" s="50">
        <v>44713</v>
      </c>
      <c r="T196" s="50">
        <v>46387</v>
      </c>
      <c r="U196" s="50">
        <v>46387</v>
      </c>
      <c r="V196" t="s">
        <v>602</v>
      </c>
      <c r="W196" s="50">
        <v>44718</v>
      </c>
      <c r="Y196" t="s">
        <v>218</v>
      </c>
      <c r="Z196" t="s">
        <v>218</v>
      </c>
      <c r="AA196" t="s">
        <v>218</v>
      </c>
      <c r="AB196" t="s">
        <v>218</v>
      </c>
      <c r="AC196" t="s">
        <v>218</v>
      </c>
      <c r="AE196" t="s">
        <v>262</v>
      </c>
      <c r="AF196" t="s">
        <v>558</v>
      </c>
      <c r="AG196" t="s">
        <v>341</v>
      </c>
      <c r="AH196" t="s">
        <v>265</v>
      </c>
    </row>
    <row r="197" spans="1:34" x14ac:dyDescent="0.2">
      <c r="A197" t="s">
        <v>98</v>
      </c>
      <c r="B197" t="s">
        <v>217</v>
      </c>
      <c r="C197" t="s">
        <v>256</v>
      </c>
      <c r="D197" t="s">
        <v>256</v>
      </c>
      <c r="E197" t="s">
        <v>267</v>
      </c>
      <c r="F197" t="s">
        <v>155</v>
      </c>
      <c r="G197" t="s">
        <v>349</v>
      </c>
      <c r="H197" t="s">
        <v>23</v>
      </c>
      <c r="I197" t="s">
        <v>626</v>
      </c>
      <c r="J197" t="s">
        <v>178</v>
      </c>
      <c r="K197" t="s">
        <v>699</v>
      </c>
      <c r="L197" t="s">
        <v>259</v>
      </c>
      <c r="M197" t="s">
        <v>316</v>
      </c>
      <c r="N197" s="58">
        <v>100000</v>
      </c>
      <c r="O197" s="58">
        <v>24000</v>
      </c>
      <c r="P197">
        <v>2230</v>
      </c>
      <c r="Q197">
        <v>0</v>
      </c>
      <c r="R197" t="s">
        <v>383</v>
      </c>
      <c r="S197" s="50">
        <v>44470</v>
      </c>
      <c r="T197" s="50">
        <v>46387</v>
      </c>
      <c r="U197" s="50">
        <v>46387</v>
      </c>
      <c r="V197" t="s">
        <v>602</v>
      </c>
      <c r="W197" s="50">
        <v>44718</v>
      </c>
      <c r="Y197" t="s">
        <v>26</v>
      </c>
      <c r="Z197" t="s">
        <v>26</v>
      </c>
      <c r="AA197" t="s">
        <v>57</v>
      </c>
      <c r="AB197" t="s">
        <v>57</v>
      </c>
      <c r="AC197" t="s">
        <v>218</v>
      </c>
      <c r="AD197" s="50">
        <v>45910</v>
      </c>
      <c r="AE197" t="s">
        <v>307</v>
      </c>
      <c r="AF197" t="s">
        <v>558</v>
      </c>
      <c r="AG197" t="s">
        <v>341</v>
      </c>
      <c r="AH197" t="s">
        <v>265</v>
      </c>
    </row>
    <row r="198" spans="1:34" x14ac:dyDescent="0.2">
      <c r="A198" t="s">
        <v>559</v>
      </c>
      <c r="B198" t="s">
        <v>217</v>
      </c>
      <c r="C198" t="s">
        <v>282</v>
      </c>
      <c r="D198" t="s">
        <v>695</v>
      </c>
      <c r="E198" t="s">
        <v>276</v>
      </c>
      <c r="F198" t="s">
        <v>144</v>
      </c>
      <c r="G198" t="s">
        <v>218</v>
      </c>
      <c r="H198" t="s">
        <v>20</v>
      </c>
      <c r="I198" t="s">
        <v>601</v>
      </c>
      <c r="J198" t="s">
        <v>473</v>
      </c>
      <c r="K198" t="s">
        <v>207</v>
      </c>
      <c r="L198" t="s">
        <v>268</v>
      </c>
      <c r="M198" t="s">
        <v>218</v>
      </c>
      <c r="P198">
        <v>280</v>
      </c>
      <c r="Q198">
        <v>0</v>
      </c>
      <c r="R198" t="s">
        <v>261</v>
      </c>
      <c r="S198" s="50">
        <v>45261</v>
      </c>
      <c r="T198" s="50">
        <v>45657</v>
      </c>
      <c r="U198" s="50">
        <v>45657</v>
      </c>
      <c r="V198" t="s">
        <v>282</v>
      </c>
      <c r="Y198" t="s">
        <v>57</v>
      </c>
      <c r="Z198" t="s">
        <v>57</v>
      </c>
      <c r="AA198" t="s">
        <v>27</v>
      </c>
      <c r="AB198" t="s">
        <v>57</v>
      </c>
      <c r="AC198" t="s">
        <v>560</v>
      </c>
      <c r="AD198" s="50">
        <v>45537</v>
      </c>
      <c r="AE198" t="s">
        <v>294</v>
      </c>
      <c r="AF198" t="s">
        <v>561</v>
      </c>
      <c r="AG198" t="s">
        <v>318</v>
      </c>
      <c r="AH198" t="s">
        <v>265</v>
      </c>
    </row>
    <row r="199" spans="1:34" x14ac:dyDescent="0.2">
      <c r="A199" t="s">
        <v>642</v>
      </c>
      <c r="B199" t="s">
        <v>217</v>
      </c>
      <c r="C199" t="s">
        <v>256</v>
      </c>
      <c r="D199" t="s">
        <v>256</v>
      </c>
      <c r="E199" t="s">
        <v>267</v>
      </c>
      <c r="F199" t="s">
        <v>144</v>
      </c>
      <c r="G199" t="s">
        <v>218</v>
      </c>
      <c r="H199" t="s">
        <v>20</v>
      </c>
      <c r="I199" t="s">
        <v>402</v>
      </c>
      <c r="J199" t="s">
        <v>60</v>
      </c>
      <c r="K199" t="s">
        <v>699</v>
      </c>
      <c r="L199" t="s">
        <v>268</v>
      </c>
      <c r="M199" t="s">
        <v>292</v>
      </c>
      <c r="N199" s="58">
        <v>271951</v>
      </c>
      <c r="P199">
        <v>8820</v>
      </c>
      <c r="Q199">
        <v>0</v>
      </c>
      <c r="R199" t="s">
        <v>383</v>
      </c>
      <c r="S199" s="50">
        <v>46022</v>
      </c>
      <c r="T199" s="50">
        <v>47847</v>
      </c>
      <c r="U199" s="50">
        <v>47847</v>
      </c>
      <c r="V199" t="s">
        <v>218</v>
      </c>
      <c r="Y199" t="s">
        <v>27</v>
      </c>
      <c r="Z199" t="s">
        <v>27</v>
      </c>
      <c r="AA199" t="s">
        <v>607</v>
      </c>
      <c r="AB199" t="s">
        <v>27</v>
      </c>
      <c r="AC199" t="s">
        <v>714</v>
      </c>
      <c r="AE199" t="s">
        <v>274</v>
      </c>
      <c r="AF199" t="s">
        <v>218</v>
      </c>
      <c r="AG199" t="s">
        <v>218</v>
      </c>
      <c r="AH199" t="s">
        <v>265</v>
      </c>
    </row>
    <row r="200" spans="1:34" x14ac:dyDescent="0.2">
      <c r="A200" t="s">
        <v>562</v>
      </c>
      <c r="B200" t="s">
        <v>281</v>
      </c>
      <c r="C200" t="s">
        <v>282</v>
      </c>
      <c r="D200" t="s">
        <v>695</v>
      </c>
      <c r="E200" t="s">
        <v>276</v>
      </c>
      <c r="F200" t="s">
        <v>218</v>
      </c>
      <c r="G200" t="s">
        <v>218</v>
      </c>
      <c r="H200" t="s">
        <v>20</v>
      </c>
      <c r="I200" t="s">
        <v>402</v>
      </c>
      <c r="J200" t="s">
        <v>655</v>
      </c>
      <c r="K200" t="s">
        <v>117</v>
      </c>
      <c r="L200" t="s">
        <v>268</v>
      </c>
      <c r="M200" t="s">
        <v>218</v>
      </c>
      <c r="P200">
        <v>0</v>
      </c>
      <c r="Q200">
        <v>0</v>
      </c>
      <c r="R200" t="s">
        <v>261</v>
      </c>
      <c r="S200" s="50">
        <v>45078</v>
      </c>
      <c r="T200" s="50">
        <v>45199</v>
      </c>
      <c r="U200" s="50">
        <v>45199</v>
      </c>
      <c r="V200" t="s">
        <v>282</v>
      </c>
      <c r="Y200" t="s">
        <v>218</v>
      </c>
      <c r="Z200" t="s">
        <v>218</v>
      </c>
      <c r="AA200" t="s">
        <v>218</v>
      </c>
      <c r="AB200" t="s">
        <v>218</v>
      </c>
      <c r="AC200" t="s">
        <v>218</v>
      </c>
      <c r="AD200" s="50">
        <v>45183</v>
      </c>
      <c r="AE200" t="s">
        <v>294</v>
      </c>
      <c r="AF200" t="s">
        <v>563</v>
      </c>
      <c r="AG200" t="s">
        <v>485</v>
      </c>
      <c r="AH200" t="s">
        <v>265</v>
      </c>
    </row>
    <row r="201" spans="1:34" x14ac:dyDescent="0.2">
      <c r="A201" t="s">
        <v>99</v>
      </c>
      <c r="B201" t="s">
        <v>217</v>
      </c>
      <c r="C201" t="s">
        <v>282</v>
      </c>
      <c r="D201" t="s">
        <v>695</v>
      </c>
      <c r="E201" t="s">
        <v>257</v>
      </c>
      <c r="F201" t="s">
        <v>155</v>
      </c>
      <c r="G201" t="s">
        <v>349</v>
      </c>
      <c r="H201" t="s">
        <v>20</v>
      </c>
      <c r="I201" t="s">
        <v>601</v>
      </c>
      <c r="J201" t="s">
        <v>44</v>
      </c>
      <c r="K201" t="s">
        <v>117</v>
      </c>
      <c r="L201" t="s">
        <v>259</v>
      </c>
      <c r="M201" t="s">
        <v>218</v>
      </c>
      <c r="P201">
        <v>4370</v>
      </c>
      <c r="Q201">
        <v>0</v>
      </c>
      <c r="R201" t="s">
        <v>261</v>
      </c>
      <c r="S201" s="50">
        <v>45642</v>
      </c>
      <c r="T201" s="50">
        <v>45992</v>
      </c>
      <c r="U201" s="50">
        <v>45991</v>
      </c>
      <c r="V201" t="s">
        <v>282</v>
      </c>
      <c r="Y201" t="s">
        <v>612</v>
      </c>
      <c r="Z201" t="s">
        <v>612</v>
      </c>
      <c r="AA201" t="s">
        <v>607</v>
      </c>
      <c r="AB201" t="s">
        <v>612</v>
      </c>
      <c r="AC201" t="s">
        <v>218</v>
      </c>
      <c r="AD201" s="50">
        <v>45807</v>
      </c>
      <c r="AE201" t="s">
        <v>307</v>
      </c>
      <c r="AF201" t="s">
        <v>564</v>
      </c>
      <c r="AG201" t="s">
        <v>347</v>
      </c>
      <c r="AH201" t="s">
        <v>265</v>
      </c>
    </row>
    <row r="202" spans="1:34" x14ac:dyDescent="0.2">
      <c r="A202" t="s">
        <v>205</v>
      </c>
      <c r="B202" t="s">
        <v>217</v>
      </c>
      <c r="C202" t="s">
        <v>256</v>
      </c>
      <c r="D202" t="s">
        <v>256</v>
      </c>
      <c r="E202" t="s">
        <v>267</v>
      </c>
      <c r="F202" t="s">
        <v>149</v>
      </c>
      <c r="G202" t="s">
        <v>693</v>
      </c>
      <c r="H202" t="s">
        <v>23</v>
      </c>
      <c r="I202" t="s">
        <v>637</v>
      </c>
      <c r="J202" t="s">
        <v>694</v>
      </c>
      <c r="K202" t="s">
        <v>222</v>
      </c>
      <c r="L202" t="s">
        <v>259</v>
      </c>
      <c r="M202" t="s">
        <v>292</v>
      </c>
      <c r="N202" s="58">
        <v>72855</v>
      </c>
      <c r="P202">
        <v>588</v>
      </c>
      <c r="Q202">
        <v>0</v>
      </c>
      <c r="R202" t="s">
        <v>323</v>
      </c>
      <c r="S202" s="50">
        <v>45717</v>
      </c>
      <c r="T202" s="50">
        <v>47542</v>
      </c>
      <c r="U202" s="50">
        <v>46447</v>
      </c>
      <c r="V202" t="s">
        <v>602</v>
      </c>
      <c r="W202" s="50">
        <v>46010</v>
      </c>
      <c r="Y202" t="s">
        <v>26</v>
      </c>
      <c r="Z202" t="s">
        <v>26</v>
      </c>
      <c r="AA202" t="s">
        <v>26</v>
      </c>
      <c r="AB202" t="s">
        <v>57</v>
      </c>
      <c r="AC202" t="s">
        <v>218</v>
      </c>
      <c r="AD202" s="50">
        <v>45918</v>
      </c>
      <c r="AE202" t="s">
        <v>294</v>
      </c>
      <c r="AF202" t="s">
        <v>565</v>
      </c>
      <c r="AG202" t="s">
        <v>506</v>
      </c>
      <c r="AH202" t="s">
        <v>265</v>
      </c>
    </row>
    <row r="203" spans="1:34" x14ac:dyDescent="0.2">
      <c r="A203" t="s">
        <v>566</v>
      </c>
      <c r="B203" t="s">
        <v>217</v>
      </c>
      <c r="C203" t="s">
        <v>634</v>
      </c>
      <c r="D203" t="s">
        <v>695</v>
      </c>
      <c r="E203" t="s">
        <v>257</v>
      </c>
      <c r="F203" t="s">
        <v>218</v>
      </c>
      <c r="G203" t="s">
        <v>218</v>
      </c>
      <c r="H203" t="s">
        <v>23</v>
      </c>
      <c r="I203" t="s">
        <v>626</v>
      </c>
      <c r="J203" t="s">
        <v>69</v>
      </c>
      <c r="K203" t="s">
        <v>117</v>
      </c>
      <c r="L203" t="s">
        <v>259</v>
      </c>
      <c r="M203" t="s">
        <v>218</v>
      </c>
      <c r="O203" s="58">
        <v>30000</v>
      </c>
      <c r="P203">
        <v>107</v>
      </c>
      <c r="Q203">
        <v>50</v>
      </c>
      <c r="R203" t="s">
        <v>261</v>
      </c>
      <c r="S203" s="50">
        <v>45139</v>
      </c>
      <c r="T203" s="50">
        <v>45524</v>
      </c>
      <c r="U203" s="50">
        <v>45524</v>
      </c>
      <c r="V203" t="s">
        <v>219</v>
      </c>
      <c r="Y203" t="s">
        <v>26</v>
      </c>
      <c r="Z203" t="s">
        <v>26</v>
      </c>
      <c r="AA203" t="s">
        <v>57</v>
      </c>
      <c r="AB203" t="s">
        <v>57</v>
      </c>
      <c r="AC203" t="s">
        <v>218</v>
      </c>
      <c r="AD203" s="50">
        <v>45245</v>
      </c>
      <c r="AE203" t="s">
        <v>274</v>
      </c>
      <c r="AF203" t="s">
        <v>567</v>
      </c>
      <c r="AG203" t="s">
        <v>341</v>
      </c>
      <c r="AH203" t="s">
        <v>265</v>
      </c>
    </row>
    <row r="204" spans="1:34" x14ac:dyDescent="0.2">
      <c r="A204" t="s">
        <v>100</v>
      </c>
      <c r="B204" t="s">
        <v>266</v>
      </c>
      <c r="C204" t="s">
        <v>256</v>
      </c>
      <c r="D204" t="s">
        <v>256</v>
      </c>
      <c r="E204" t="s">
        <v>267</v>
      </c>
      <c r="F204" t="s">
        <v>161</v>
      </c>
      <c r="G204" t="s">
        <v>218</v>
      </c>
      <c r="H204" t="s">
        <v>85</v>
      </c>
      <c r="I204" t="s">
        <v>320</v>
      </c>
      <c r="J204" t="s">
        <v>33</v>
      </c>
      <c r="K204" t="s">
        <v>222</v>
      </c>
      <c r="L204" t="s">
        <v>259</v>
      </c>
      <c r="M204" t="s">
        <v>218</v>
      </c>
      <c r="N204" s="58">
        <v>23500</v>
      </c>
      <c r="P204">
        <v>0</v>
      </c>
      <c r="Q204">
        <v>0</v>
      </c>
      <c r="R204" t="s">
        <v>323</v>
      </c>
      <c r="S204" s="50">
        <v>44593</v>
      </c>
      <c r="T204" s="50">
        <v>46418</v>
      </c>
      <c r="U204" s="50">
        <v>46418</v>
      </c>
      <c r="V204" t="s">
        <v>218</v>
      </c>
      <c r="Y204" t="s">
        <v>218</v>
      </c>
      <c r="Z204" t="s">
        <v>218</v>
      </c>
      <c r="AA204" t="s">
        <v>218</v>
      </c>
      <c r="AB204" t="s">
        <v>218</v>
      </c>
      <c r="AC204" t="s">
        <v>218</v>
      </c>
      <c r="AE204" t="s">
        <v>262</v>
      </c>
      <c r="AF204" t="s">
        <v>568</v>
      </c>
      <c r="AG204" t="s">
        <v>347</v>
      </c>
      <c r="AH204" t="s">
        <v>265</v>
      </c>
    </row>
    <row r="205" spans="1:34" x14ac:dyDescent="0.2">
      <c r="A205" t="s">
        <v>100</v>
      </c>
      <c r="B205" t="s">
        <v>217</v>
      </c>
      <c r="C205" t="s">
        <v>256</v>
      </c>
      <c r="D205" t="s">
        <v>256</v>
      </c>
      <c r="E205" t="s">
        <v>267</v>
      </c>
      <c r="F205" t="s">
        <v>155</v>
      </c>
      <c r="G205" t="s">
        <v>285</v>
      </c>
      <c r="H205" t="s">
        <v>23</v>
      </c>
      <c r="I205" t="s">
        <v>320</v>
      </c>
      <c r="J205" t="s">
        <v>33</v>
      </c>
      <c r="K205" t="s">
        <v>222</v>
      </c>
      <c r="L205" t="s">
        <v>259</v>
      </c>
      <c r="M205" t="s">
        <v>273</v>
      </c>
      <c r="N205" s="58">
        <v>94000</v>
      </c>
      <c r="O205" s="58">
        <v>20000</v>
      </c>
      <c r="P205">
        <v>3814</v>
      </c>
      <c r="Q205">
        <v>0</v>
      </c>
      <c r="R205" t="s">
        <v>323</v>
      </c>
      <c r="S205" s="50">
        <v>44409</v>
      </c>
      <c r="T205" s="50">
        <v>46418</v>
      </c>
      <c r="U205" s="50">
        <v>46419</v>
      </c>
      <c r="V205" t="s">
        <v>602</v>
      </c>
      <c r="W205" s="50">
        <v>45071</v>
      </c>
      <c r="Y205" t="s">
        <v>26</v>
      </c>
      <c r="Z205" t="s">
        <v>26</v>
      </c>
      <c r="AA205" t="s">
        <v>57</v>
      </c>
      <c r="AB205" t="s">
        <v>26</v>
      </c>
      <c r="AC205" t="s">
        <v>218</v>
      </c>
      <c r="AD205" s="50">
        <v>45891</v>
      </c>
      <c r="AE205" t="s">
        <v>294</v>
      </c>
      <c r="AF205" t="s">
        <v>568</v>
      </c>
      <c r="AG205" t="s">
        <v>347</v>
      </c>
      <c r="AH205" t="s">
        <v>265</v>
      </c>
    </row>
    <row r="206" spans="1:34" x14ac:dyDescent="0.2">
      <c r="A206" t="s">
        <v>569</v>
      </c>
      <c r="B206" t="s">
        <v>217</v>
      </c>
      <c r="C206" t="s">
        <v>282</v>
      </c>
      <c r="D206" t="s">
        <v>695</v>
      </c>
      <c r="E206" t="s">
        <v>276</v>
      </c>
      <c r="F206" t="s">
        <v>218</v>
      </c>
      <c r="G206" t="s">
        <v>218</v>
      </c>
      <c r="H206" t="s">
        <v>20</v>
      </c>
      <c r="I206" t="s">
        <v>654</v>
      </c>
      <c r="J206" t="s">
        <v>218</v>
      </c>
      <c r="K206" t="s">
        <v>218</v>
      </c>
      <c r="L206" t="s">
        <v>268</v>
      </c>
      <c r="M206" t="s">
        <v>218</v>
      </c>
      <c r="P206">
        <v>0</v>
      </c>
      <c r="Q206">
        <v>0</v>
      </c>
      <c r="R206" t="s">
        <v>261</v>
      </c>
      <c r="S206" s="50">
        <v>44470</v>
      </c>
      <c r="T206" s="50">
        <v>44651</v>
      </c>
      <c r="U206" s="50">
        <v>44651</v>
      </c>
      <c r="V206" t="s">
        <v>282</v>
      </c>
      <c r="Y206" t="s">
        <v>218</v>
      </c>
      <c r="Z206" t="s">
        <v>218</v>
      </c>
      <c r="AA206" t="s">
        <v>218</v>
      </c>
      <c r="AB206" t="s">
        <v>218</v>
      </c>
      <c r="AC206" t="s">
        <v>218</v>
      </c>
      <c r="AE206" t="s">
        <v>218</v>
      </c>
      <c r="AF206" t="s">
        <v>570</v>
      </c>
      <c r="AG206" t="s">
        <v>278</v>
      </c>
      <c r="AH206" t="s">
        <v>571</v>
      </c>
    </row>
    <row r="207" spans="1:34" x14ac:dyDescent="0.2">
      <c r="A207" t="s">
        <v>206</v>
      </c>
      <c r="B207" t="s">
        <v>217</v>
      </c>
      <c r="C207" t="s">
        <v>256</v>
      </c>
      <c r="D207" t="s">
        <v>256</v>
      </c>
      <c r="E207" t="s">
        <v>267</v>
      </c>
      <c r="F207" t="s">
        <v>155</v>
      </c>
      <c r="G207" t="s">
        <v>697</v>
      </c>
      <c r="H207" t="s">
        <v>20</v>
      </c>
      <c r="I207" t="s">
        <v>626</v>
      </c>
      <c r="J207" t="s">
        <v>53</v>
      </c>
      <c r="K207" t="s">
        <v>25</v>
      </c>
      <c r="L207" t="s">
        <v>259</v>
      </c>
      <c r="M207" t="s">
        <v>292</v>
      </c>
      <c r="N207" s="58">
        <v>94748</v>
      </c>
      <c r="O207" s="58">
        <v>9922</v>
      </c>
      <c r="P207">
        <v>1965</v>
      </c>
      <c r="Q207">
        <v>0</v>
      </c>
      <c r="R207" t="s">
        <v>383</v>
      </c>
      <c r="S207" s="50">
        <v>45936</v>
      </c>
      <c r="T207" s="50">
        <v>47848</v>
      </c>
      <c r="U207" s="50">
        <v>47848</v>
      </c>
      <c r="V207" t="s">
        <v>218</v>
      </c>
      <c r="Y207" t="s">
        <v>26</v>
      </c>
      <c r="Z207" t="s">
        <v>26</v>
      </c>
      <c r="AA207" t="s">
        <v>26</v>
      </c>
      <c r="AB207" t="s">
        <v>27</v>
      </c>
      <c r="AC207" t="s">
        <v>218</v>
      </c>
      <c r="AD207" s="50">
        <v>46052</v>
      </c>
      <c r="AE207" t="s">
        <v>294</v>
      </c>
      <c r="AF207" t="s">
        <v>659</v>
      </c>
      <c r="AG207" t="s">
        <v>540</v>
      </c>
      <c r="AH207" t="s">
        <v>265</v>
      </c>
    </row>
    <row r="208" spans="1:34" x14ac:dyDescent="0.2">
      <c r="A208" t="s">
        <v>101</v>
      </c>
      <c r="B208" t="s">
        <v>217</v>
      </c>
      <c r="C208" t="s">
        <v>256</v>
      </c>
      <c r="D208" t="s">
        <v>256</v>
      </c>
      <c r="E208" t="s">
        <v>267</v>
      </c>
      <c r="F208" t="s">
        <v>155</v>
      </c>
      <c r="G208" t="s">
        <v>319</v>
      </c>
      <c r="H208" t="s">
        <v>23</v>
      </c>
      <c r="I208" t="s">
        <v>601</v>
      </c>
      <c r="J208" t="s">
        <v>177</v>
      </c>
      <c r="K208" t="s">
        <v>117</v>
      </c>
      <c r="L208" t="s">
        <v>268</v>
      </c>
      <c r="M208" t="s">
        <v>218</v>
      </c>
      <c r="N208" s="58">
        <v>100000</v>
      </c>
      <c r="P208">
        <v>9750</v>
      </c>
      <c r="Q208">
        <v>0</v>
      </c>
      <c r="R208" t="s">
        <v>261</v>
      </c>
      <c r="S208" s="50">
        <v>44317</v>
      </c>
      <c r="T208" s="50">
        <v>47118</v>
      </c>
      <c r="U208" s="50">
        <v>47118</v>
      </c>
      <c r="V208" t="s">
        <v>602</v>
      </c>
      <c r="W208" s="50">
        <v>45079</v>
      </c>
      <c r="Y208" t="s">
        <v>26</v>
      </c>
      <c r="Z208" t="s">
        <v>26</v>
      </c>
      <c r="AA208" t="s">
        <v>27</v>
      </c>
      <c r="AB208" t="s">
        <v>27</v>
      </c>
      <c r="AC208" t="s">
        <v>218</v>
      </c>
      <c r="AD208" s="50">
        <v>45733</v>
      </c>
      <c r="AE208" t="s">
        <v>262</v>
      </c>
      <c r="AF208" t="s">
        <v>572</v>
      </c>
      <c r="AG208" t="s">
        <v>278</v>
      </c>
      <c r="AH208" t="s">
        <v>279</v>
      </c>
    </row>
    <row r="209" spans="1:34" x14ac:dyDescent="0.2">
      <c r="A209" t="s">
        <v>208</v>
      </c>
      <c r="B209" t="s">
        <v>266</v>
      </c>
      <c r="C209" t="s">
        <v>256</v>
      </c>
      <c r="D209" t="s">
        <v>256</v>
      </c>
      <c r="E209" t="s">
        <v>267</v>
      </c>
      <c r="F209" t="s">
        <v>161</v>
      </c>
      <c r="G209" t="s">
        <v>218</v>
      </c>
      <c r="H209" t="s">
        <v>85</v>
      </c>
      <c r="I209" t="s">
        <v>637</v>
      </c>
      <c r="J209" t="s">
        <v>177</v>
      </c>
      <c r="K209" t="s">
        <v>116</v>
      </c>
      <c r="L209" t="s">
        <v>259</v>
      </c>
      <c r="M209" t="s">
        <v>218</v>
      </c>
      <c r="N209" s="58">
        <v>20002</v>
      </c>
      <c r="P209">
        <v>0</v>
      </c>
      <c r="Q209">
        <v>0</v>
      </c>
      <c r="R209" t="s">
        <v>261</v>
      </c>
      <c r="S209" s="50">
        <v>46006</v>
      </c>
      <c r="T209" s="50">
        <v>47831</v>
      </c>
      <c r="U209" s="50">
        <v>47831</v>
      </c>
      <c r="V209" t="s">
        <v>218</v>
      </c>
      <c r="Y209" t="s">
        <v>218</v>
      </c>
      <c r="Z209" t="s">
        <v>218</v>
      </c>
      <c r="AA209" t="s">
        <v>218</v>
      </c>
      <c r="AB209" t="s">
        <v>218</v>
      </c>
      <c r="AC209" t="s">
        <v>218</v>
      </c>
      <c r="AE209" t="s">
        <v>274</v>
      </c>
      <c r="AF209" t="s">
        <v>666</v>
      </c>
      <c r="AG209" t="s">
        <v>459</v>
      </c>
      <c r="AH209" t="s">
        <v>265</v>
      </c>
    </row>
    <row r="210" spans="1:34" x14ac:dyDescent="0.2">
      <c r="A210" t="s">
        <v>208</v>
      </c>
      <c r="B210" t="s">
        <v>217</v>
      </c>
      <c r="C210" t="s">
        <v>256</v>
      </c>
      <c r="D210" t="s">
        <v>256</v>
      </c>
      <c r="E210" t="s">
        <v>267</v>
      </c>
      <c r="F210" t="s">
        <v>155</v>
      </c>
      <c r="G210" t="s">
        <v>218</v>
      </c>
      <c r="H210" t="s">
        <v>20</v>
      </c>
      <c r="I210" t="s">
        <v>637</v>
      </c>
      <c r="J210" t="s">
        <v>177</v>
      </c>
      <c r="K210" t="s">
        <v>116</v>
      </c>
      <c r="L210" t="s">
        <v>259</v>
      </c>
      <c r="M210" t="s">
        <v>218</v>
      </c>
      <c r="N210" s="58">
        <v>60005</v>
      </c>
      <c r="P210">
        <v>4440</v>
      </c>
      <c r="Q210">
        <v>0</v>
      </c>
      <c r="R210" t="s">
        <v>261</v>
      </c>
      <c r="S210" s="50">
        <v>46006</v>
      </c>
      <c r="T210" s="50">
        <v>47831</v>
      </c>
      <c r="U210" s="50">
        <v>47831</v>
      </c>
      <c r="V210" t="s">
        <v>218</v>
      </c>
      <c r="Y210" t="s">
        <v>26</v>
      </c>
      <c r="Z210" t="s">
        <v>26</v>
      </c>
      <c r="AA210" t="s">
        <v>607</v>
      </c>
      <c r="AB210" t="s">
        <v>57</v>
      </c>
      <c r="AC210" t="s">
        <v>218</v>
      </c>
      <c r="AE210" t="s">
        <v>274</v>
      </c>
      <c r="AF210" t="s">
        <v>666</v>
      </c>
      <c r="AG210" t="s">
        <v>459</v>
      </c>
      <c r="AH210" t="s">
        <v>265</v>
      </c>
    </row>
    <row r="211" spans="1:34" x14ac:dyDescent="0.2">
      <c r="A211" t="s">
        <v>208</v>
      </c>
      <c r="B211" t="s">
        <v>632</v>
      </c>
      <c r="C211" t="s">
        <v>256</v>
      </c>
      <c r="D211" t="s">
        <v>256</v>
      </c>
      <c r="E211" t="s">
        <v>267</v>
      </c>
      <c r="F211" t="s">
        <v>155</v>
      </c>
      <c r="G211" t="s">
        <v>218</v>
      </c>
      <c r="H211" t="s">
        <v>20</v>
      </c>
      <c r="I211" t="s">
        <v>637</v>
      </c>
      <c r="J211" t="s">
        <v>177</v>
      </c>
      <c r="K211" t="s">
        <v>116</v>
      </c>
      <c r="L211" t="s">
        <v>259</v>
      </c>
      <c r="M211" t="s">
        <v>218</v>
      </c>
      <c r="N211" s="58">
        <v>0</v>
      </c>
      <c r="P211">
        <v>0</v>
      </c>
      <c r="Q211">
        <v>0</v>
      </c>
      <c r="R211" t="s">
        <v>261</v>
      </c>
      <c r="S211" s="50">
        <v>46006</v>
      </c>
      <c r="T211" s="50">
        <v>47831</v>
      </c>
      <c r="U211" s="50">
        <v>47831</v>
      </c>
      <c r="V211" t="s">
        <v>218</v>
      </c>
      <c r="Y211" t="s">
        <v>218</v>
      </c>
      <c r="Z211" t="s">
        <v>218</v>
      </c>
      <c r="AA211" t="s">
        <v>218</v>
      </c>
      <c r="AB211" t="s">
        <v>218</v>
      </c>
      <c r="AC211" t="s">
        <v>218</v>
      </c>
      <c r="AE211" t="s">
        <v>218</v>
      </c>
      <c r="AF211" t="s">
        <v>666</v>
      </c>
      <c r="AG211" t="s">
        <v>459</v>
      </c>
      <c r="AH211" t="s">
        <v>265</v>
      </c>
    </row>
    <row r="212" spans="1:34" x14ac:dyDescent="0.2">
      <c r="A212" t="s">
        <v>102</v>
      </c>
      <c r="B212" t="s">
        <v>217</v>
      </c>
      <c r="C212" t="s">
        <v>256</v>
      </c>
      <c r="D212" t="s">
        <v>256</v>
      </c>
      <c r="E212" t="s">
        <v>267</v>
      </c>
      <c r="F212" t="s">
        <v>161</v>
      </c>
      <c r="G212" t="s">
        <v>285</v>
      </c>
      <c r="H212" t="s">
        <v>23</v>
      </c>
      <c r="I212" t="s">
        <v>320</v>
      </c>
      <c r="J212" t="s">
        <v>178</v>
      </c>
      <c r="K212" t="s">
        <v>115</v>
      </c>
      <c r="L212" t="s">
        <v>259</v>
      </c>
      <c r="M212" t="s">
        <v>316</v>
      </c>
      <c r="N212" s="58">
        <v>70000</v>
      </c>
      <c r="O212" s="58">
        <v>7000</v>
      </c>
      <c r="P212">
        <v>1800</v>
      </c>
      <c r="Q212">
        <v>0</v>
      </c>
      <c r="R212" t="s">
        <v>261</v>
      </c>
      <c r="S212" s="50">
        <v>44713</v>
      </c>
      <c r="T212" s="50">
        <v>47483</v>
      </c>
      <c r="U212" s="50">
        <v>47483</v>
      </c>
      <c r="V212" t="s">
        <v>602</v>
      </c>
      <c r="W212" s="50">
        <v>44971</v>
      </c>
      <c r="Y212" t="s">
        <v>26</v>
      </c>
      <c r="Z212" t="s">
        <v>26</v>
      </c>
      <c r="AA212" t="s">
        <v>607</v>
      </c>
      <c r="AB212" t="s">
        <v>26</v>
      </c>
      <c r="AC212" t="s">
        <v>218</v>
      </c>
      <c r="AD212" s="50">
        <v>45936</v>
      </c>
      <c r="AE212" t="s">
        <v>274</v>
      </c>
      <c r="AF212" t="s">
        <v>573</v>
      </c>
      <c r="AG212" t="s">
        <v>325</v>
      </c>
      <c r="AH212" t="s">
        <v>265</v>
      </c>
    </row>
    <row r="213" spans="1:34" x14ac:dyDescent="0.2">
      <c r="A213" t="s">
        <v>103</v>
      </c>
      <c r="B213" t="s">
        <v>217</v>
      </c>
      <c r="C213" t="s">
        <v>256</v>
      </c>
      <c r="D213" t="s">
        <v>256</v>
      </c>
      <c r="E213" t="s">
        <v>267</v>
      </c>
      <c r="F213" t="s">
        <v>161</v>
      </c>
      <c r="G213" t="s">
        <v>285</v>
      </c>
      <c r="H213" t="s">
        <v>23</v>
      </c>
      <c r="I213" t="s">
        <v>626</v>
      </c>
      <c r="J213" t="s">
        <v>44</v>
      </c>
      <c r="K213" t="s">
        <v>115</v>
      </c>
      <c r="L213" t="s">
        <v>259</v>
      </c>
      <c r="M213" t="s">
        <v>316</v>
      </c>
      <c r="N213" s="58">
        <v>75000</v>
      </c>
      <c r="O213" s="58">
        <v>67500</v>
      </c>
      <c r="P213">
        <v>2726</v>
      </c>
      <c r="Q213">
        <v>26</v>
      </c>
      <c r="R213" t="s">
        <v>261</v>
      </c>
      <c r="S213" s="50">
        <v>45047</v>
      </c>
      <c r="T213" s="50">
        <v>46142</v>
      </c>
      <c r="U213" s="50">
        <v>46142</v>
      </c>
      <c r="V213" t="s">
        <v>219</v>
      </c>
      <c r="Y213" t="s">
        <v>26</v>
      </c>
      <c r="Z213" t="s">
        <v>26</v>
      </c>
      <c r="AA213" t="s">
        <v>57</v>
      </c>
      <c r="AB213" t="s">
        <v>57</v>
      </c>
      <c r="AC213" t="s">
        <v>218</v>
      </c>
      <c r="AD213" s="50">
        <v>45944</v>
      </c>
      <c r="AE213" t="s">
        <v>274</v>
      </c>
      <c r="AF213" t="s">
        <v>574</v>
      </c>
      <c r="AG213" t="s">
        <v>351</v>
      </c>
      <c r="AH213" t="s">
        <v>265</v>
      </c>
    </row>
    <row r="214" spans="1:34" x14ac:dyDescent="0.2">
      <c r="A214" t="s">
        <v>104</v>
      </c>
      <c r="B214" t="s">
        <v>217</v>
      </c>
      <c r="C214" t="s">
        <v>256</v>
      </c>
      <c r="D214" t="s">
        <v>256</v>
      </c>
      <c r="E214" t="s">
        <v>267</v>
      </c>
      <c r="F214" t="s">
        <v>155</v>
      </c>
      <c r="G214" t="s">
        <v>693</v>
      </c>
      <c r="H214" t="s">
        <v>23</v>
      </c>
      <c r="I214" t="s">
        <v>637</v>
      </c>
      <c r="J214" t="s">
        <v>36</v>
      </c>
      <c r="K214" t="s">
        <v>222</v>
      </c>
      <c r="L214" t="s">
        <v>259</v>
      </c>
      <c r="M214" t="s">
        <v>316</v>
      </c>
      <c r="N214" s="58">
        <v>40000</v>
      </c>
      <c r="O214" s="58">
        <v>4000</v>
      </c>
      <c r="P214">
        <v>460</v>
      </c>
      <c r="Q214">
        <v>0</v>
      </c>
      <c r="R214" t="s">
        <v>323</v>
      </c>
      <c r="S214" s="50">
        <v>44317</v>
      </c>
      <c r="T214" s="50">
        <v>46387</v>
      </c>
      <c r="U214" s="50">
        <v>46387</v>
      </c>
      <c r="V214" t="s">
        <v>602</v>
      </c>
      <c r="W214" s="50">
        <v>44519</v>
      </c>
      <c r="Y214" t="s">
        <v>26</v>
      </c>
      <c r="Z214" t="s">
        <v>26</v>
      </c>
      <c r="AA214" t="s">
        <v>57</v>
      </c>
      <c r="AB214" t="s">
        <v>57</v>
      </c>
      <c r="AC214" t="s">
        <v>218</v>
      </c>
      <c r="AD214" s="50">
        <v>45960</v>
      </c>
      <c r="AE214" t="s">
        <v>274</v>
      </c>
      <c r="AF214" t="s">
        <v>575</v>
      </c>
      <c r="AG214" t="s">
        <v>318</v>
      </c>
      <c r="AH214" t="s">
        <v>265</v>
      </c>
    </row>
    <row r="215" spans="1:34" x14ac:dyDescent="0.2">
      <c r="A215" t="s">
        <v>105</v>
      </c>
      <c r="B215" t="s">
        <v>266</v>
      </c>
      <c r="C215" t="s">
        <v>256</v>
      </c>
      <c r="D215" t="s">
        <v>256</v>
      </c>
      <c r="E215" t="s">
        <v>257</v>
      </c>
      <c r="F215" t="s">
        <v>161</v>
      </c>
      <c r="G215" t="s">
        <v>218</v>
      </c>
      <c r="H215" t="s">
        <v>85</v>
      </c>
      <c r="I215" t="s">
        <v>637</v>
      </c>
      <c r="J215" t="s">
        <v>178</v>
      </c>
      <c r="K215" t="s">
        <v>222</v>
      </c>
      <c r="L215" t="s">
        <v>259</v>
      </c>
      <c r="M215" t="s">
        <v>218</v>
      </c>
      <c r="N215" s="58">
        <v>16750</v>
      </c>
      <c r="P215">
        <v>0</v>
      </c>
      <c r="Q215">
        <v>0</v>
      </c>
      <c r="R215" t="s">
        <v>261</v>
      </c>
      <c r="S215" s="50">
        <v>46006</v>
      </c>
      <c r="T215" s="50">
        <v>46370</v>
      </c>
      <c r="U215" s="50">
        <v>46370</v>
      </c>
      <c r="V215" t="s">
        <v>219</v>
      </c>
      <c r="Y215" t="s">
        <v>218</v>
      </c>
      <c r="Z215" t="s">
        <v>218</v>
      </c>
      <c r="AA215" t="s">
        <v>218</v>
      </c>
      <c r="AB215" t="s">
        <v>218</v>
      </c>
      <c r="AC215" t="s">
        <v>218</v>
      </c>
      <c r="AE215" t="s">
        <v>262</v>
      </c>
      <c r="AF215" t="s">
        <v>576</v>
      </c>
      <c r="AG215" t="s">
        <v>328</v>
      </c>
      <c r="AH215" t="s">
        <v>265</v>
      </c>
    </row>
    <row r="216" spans="1:34" x14ac:dyDescent="0.2">
      <c r="A216" t="s">
        <v>105</v>
      </c>
      <c r="B216" t="s">
        <v>217</v>
      </c>
      <c r="C216" t="s">
        <v>256</v>
      </c>
      <c r="D216" t="s">
        <v>256</v>
      </c>
      <c r="E216" t="s">
        <v>267</v>
      </c>
      <c r="F216" t="s">
        <v>155</v>
      </c>
      <c r="G216" t="s">
        <v>693</v>
      </c>
      <c r="H216" t="s">
        <v>23</v>
      </c>
      <c r="I216" t="s">
        <v>637</v>
      </c>
      <c r="J216" t="s">
        <v>178</v>
      </c>
      <c r="K216" t="s">
        <v>222</v>
      </c>
      <c r="L216" t="s">
        <v>259</v>
      </c>
      <c r="M216" t="s">
        <v>316</v>
      </c>
      <c r="N216" s="58">
        <v>180250</v>
      </c>
      <c r="P216">
        <v>6163</v>
      </c>
      <c r="Q216">
        <v>0</v>
      </c>
      <c r="R216" t="s">
        <v>323</v>
      </c>
      <c r="S216" s="50">
        <v>44501</v>
      </c>
      <c r="T216" s="50">
        <v>46538</v>
      </c>
      <c r="U216" s="50">
        <v>46538</v>
      </c>
      <c r="V216" t="s">
        <v>602</v>
      </c>
      <c r="W216" s="50">
        <v>46010</v>
      </c>
      <c r="Y216" t="s">
        <v>26</v>
      </c>
      <c r="Z216" t="s">
        <v>26</v>
      </c>
      <c r="AA216" t="s">
        <v>57</v>
      </c>
      <c r="AB216" t="s">
        <v>26</v>
      </c>
      <c r="AC216" t="s">
        <v>218</v>
      </c>
      <c r="AD216" s="50">
        <v>45974</v>
      </c>
      <c r="AE216" t="s">
        <v>274</v>
      </c>
      <c r="AF216" t="s">
        <v>576</v>
      </c>
      <c r="AG216" t="s">
        <v>328</v>
      </c>
      <c r="AH216" t="s">
        <v>265</v>
      </c>
    </row>
    <row r="217" spans="1:34" x14ac:dyDescent="0.2">
      <c r="A217" t="s">
        <v>105</v>
      </c>
      <c r="B217" t="s">
        <v>632</v>
      </c>
      <c r="C217" t="s">
        <v>256</v>
      </c>
      <c r="D217" t="s">
        <v>256</v>
      </c>
      <c r="E217" t="s">
        <v>257</v>
      </c>
      <c r="F217" t="s">
        <v>161</v>
      </c>
      <c r="G217" t="s">
        <v>218</v>
      </c>
      <c r="H217" t="s">
        <v>85</v>
      </c>
      <c r="I217" t="s">
        <v>637</v>
      </c>
      <c r="J217" t="s">
        <v>178</v>
      </c>
      <c r="K217" t="s">
        <v>222</v>
      </c>
      <c r="L217" t="s">
        <v>259</v>
      </c>
      <c r="M217" t="s">
        <v>218</v>
      </c>
      <c r="N217" s="58">
        <v>0</v>
      </c>
      <c r="P217">
        <v>0</v>
      </c>
      <c r="Q217">
        <v>0</v>
      </c>
      <c r="R217" t="s">
        <v>261</v>
      </c>
      <c r="S217" s="50">
        <v>46006</v>
      </c>
      <c r="T217" s="50">
        <v>46370</v>
      </c>
      <c r="U217" s="50">
        <v>46370</v>
      </c>
      <c r="V217" t="s">
        <v>219</v>
      </c>
      <c r="Y217" t="s">
        <v>218</v>
      </c>
      <c r="Z217" t="s">
        <v>218</v>
      </c>
      <c r="AA217" t="s">
        <v>218</v>
      </c>
      <c r="AB217" t="s">
        <v>218</v>
      </c>
      <c r="AC217" t="s">
        <v>218</v>
      </c>
      <c r="AE217" t="s">
        <v>218</v>
      </c>
      <c r="AF217" t="s">
        <v>576</v>
      </c>
      <c r="AG217" t="s">
        <v>328</v>
      </c>
      <c r="AH217" t="s">
        <v>265</v>
      </c>
    </row>
    <row r="218" spans="1:34" x14ac:dyDescent="0.2">
      <c r="A218" t="s">
        <v>577</v>
      </c>
      <c r="B218" t="s">
        <v>217</v>
      </c>
      <c r="C218" t="s">
        <v>282</v>
      </c>
      <c r="D218" t="s">
        <v>695</v>
      </c>
      <c r="E218" t="s">
        <v>276</v>
      </c>
      <c r="F218" t="s">
        <v>218</v>
      </c>
      <c r="G218" t="s">
        <v>218</v>
      </c>
      <c r="H218" t="s">
        <v>20</v>
      </c>
      <c r="I218" t="s">
        <v>637</v>
      </c>
      <c r="J218" t="s">
        <v>218</v>
      </c>
      <c r="K218" t="s">
        <v>218</v>
      </c>
      <c r="L218" t="s">
        <v>259</v>
      </c>
      <c r="M218" t="s">
        <v>218</v>
      </c>
      <c r="P218">
        <v>0</v>
      </c>
      <c r="Q218">
        <v>0</v>
      </c>
      <c r="R218" t="s">
        <v>261</v>
      </c>
      <c r="S218" s="50">
        <v>44348</v>
      </c>
      <c r="T218" s="50">
        <v>44672</v>
      </c>
      <c r="U218" s="50">
        <v>44672</v>
      </c>
      <c r="V218" t="s">
        <v>282</v>
      </c>
      <c r="Y218" t="s">
        <v>218</v>
      </c>
      <c r="Z218" t="s">
        <v>218</v>
      </c>
      <c r="AA218" t="s">
        <v>218</v>
      </c>
      <c r="AB218" t="s">
        <v>218</v>
      </c>
      <c r="AC218" t="s">
        <v>218</v>
      </c>
      <c r="AE218" t="s">
        <v>218</v>
      </c>
      <c r="AF218" t="s">
        <v>578</v>
      </c>
      <c r="AG218" t="s">
        <v>485</v>
      </c>
      <c r="AH218" t="s">
        <v>265</v>
      </c>
    </row>
    <row r="219" spans="1:34" x14ac:dyDescent="0.2">
      <c r="A219" t="s">
        <v>227</v>
      </c>
      <c r="B219" t="s">
        <v>217</v>
      </c>
      <c r="C219" t="s">
        <v>256</v>
      </c>
      <c r="D219" t="s">
        <v>256</v>
      </c>
      <c r="E219" t="s">
        <v>257</v>
      </c>
      <c r="F219" t="s">
        <v>155</v>
      </c>
      <c r="G219" t="s">
        <v>614</v>
      </c>
      <c r="H219" t="s">
        <v>20</v>
      </c>
      <c r="I219" t="s">
        <v>637</v>
      </c>
      <c r="J219" t="s">
        <v>36</v>
      </c>
      <c r="K219" t="s">
        <v>116</v>
      </c>
      <c r="L219" t="s">
        <v>259</v>
      </c>
      <c r="M219" t="s">
        <v>260</v>
      </c>
      <c r="N219" s="58">
        <v>25000</v>
      </c>
      <c r="O219" s="58">
        <v>30000</v>
      </c>
      <c r="P219">
        <v>250</v>
      </c>
      <c r="Q219">
        <v>0</v>
      </c>
      <c r="R219" t="s">
        <v>261</v>
      </c>
      <c r="S219" s="50">
        <v>45823</v>
      </c>
      <c r="T219" s="50">
        <v>46187</v>
      </c>
      <c r="U219" s="50">
        <v>46187</v>
      </c>
      <c r="V219" t="s">
        <v>219</v>
      </c>
      <c r="Y219" t="s">
        <v>218</v>
      </c>
      <c r="Z219" t="s">
        <v>218</v>
      </c>
      <c r="AA219" t="s">
        <v>218</v>
      </c>
      <c r="AB219" t="s">
        <v>218</v>
      </c>
      <c r="AC219" t="s">
        <v>218</v>
      </c>
      <c r="AE219" t="s">
        <v>274</v>
      </c>
      <c r="AF219" t="s">
        <v>660</v>
      </c>
      <c r="AG219" t="s">
        <v>318</v>
      </c>
      <c r="AH219" t="s">
        <v>265</v>
      </c>
    </row>
    <row r="220" spans="1:34" x14ac:dyDescent="0.2">
      <c r="A220" t="s">
        <v>215</v>
      </c>
      <c r="B220" t="s">
        <v>217</v>
      </c>
      <c r="C220" t="s">
        <v>256</v>
      </c>
      <c r="D220" t="s">
        <v>256</v>
      </c>
      <c r="E220" t="s">
        <v>257</v>
      </c>
      <c r="F220" t="s">
        <v>144</v>
      </c>
      <c r="G220" t="s">
        <v>218</v>
      </c>
      <c r="H220" t="s">
        <v>32</v>
      </c>
      <c r="I220" t="s">
        <v>611</v>
      </c>
      <c r="J220" t="s">
        <v>177</v>
      </c>
      <c r="K220" t="s">
        <v>25</v>
      </c>
      <c r="L220" t="s">
        <v>268</v>
      </c>
      <c r="M220" t="s">
        <v>286</v>
      </c>
      <c r="N220" s="58">
        <v>955250</v>
      </c>
      <c r="O220" s="58">
        <v>129000</v>
      </c>
      <c r="P220">
        <v>19874</v>
      </c>
      <c r="Q220">
        <v>31</v>
      </c>
      <c r="R220" t="s">
        <v>261</v>
      </c>
      <c r="S220" s="50">
        <v>45231</v>
      </c>
      <c r="T220" s="50">
        <v>46387</v>
      </c>
      <c r="U220" s="50">
        <v>47483</v>
      </c>
      <c r="V220" t="s">
        <v>602</v>
      </c>
      <c r="W220" s="50">
        <v>46022</v>
      </c>
      <c r="Y220" t="s">
        <v>218</v>
      </c>
      <c r="Z220" t="s">
        <v>218</v>
      </c>
      <c r="AA220" t="s">
        <v>218</v>
      </c>
      <c r="AB220" t="s">
        <v>218</v>
      </c>
      <c r="AC220" t="s">
        <v>218</v>
      </c>
      <c r="AD220" s="50">
        <v>45309</v>
      </c>
      <c r="AE220" t="s">
        <v>307</v>
      </c>
      <c r="AF220" t="s">
        <v>579</v>
      </c>
      <c r="AG220" t="s">
        <v>278</v>
      </c>
      <c r="AH220" t="s">
        <v>492</v>
      </c>
    </row>
    <row r="221" spans="1:34" x14ac:dyDescent="0.2">
      <c r="A221" t="s">
        <v>580</v>
      </c>
      <c r="B221" t="s">
        <v>217</v>
      </c>
      <c r="C221" t="s">
        <v>282</v>
      </c>
      <c r="D221" t="s">
        <v>695</v>
      </c>
      <c r="E221" t="s">
        <v>276</v>
      </c>
      <c r="F221" t="s">
        <v>218</v>
      </c>
      <c r="G221" t="s">
        <v>218</v>
      </c>
      <c r="H221" t="s">
        <v>20</v>
      </c>
      <c r="I221" t="s">
        <v>626</v>
      </c>
      <c r="J221" t="s">
        <v>218</v>
      </c>
      <c r="K221" t="s">
        <v>218</v>
      </c>
      <c r="L221" t="s">
        <v>259</v>
      </c>
      <c r="M221" t="s">
        <v>218</v>
      </c>
      <c r="P221">
        <v>0</v>
      </c>
      <c r="Q221">
        <v>0</v>
      </c>
      <c r="R221" t="s">
        <v>261</v>
      </c>
      <c r="S221" s="50">
        <v>44774</v>
      </c>
      <c r="T221" s="50">
        <v>44985</v>
      </c>
      <c r="U221" s="50">
        <v>44985</v>
      </c>
      <c r="V221" t="s">
        <v>282</v>
      </c>
      <c r="Y221" t="s">
        <v>218</v>
      </c>
      <c r="Z221" t="s">
        <v>218</v>
      </c>
      <c r="AA221" t="s">
        <v>218</v>
      </c>
      <c r="AB221" t="s">
        <v>218</v>
      </c>
      <c r="AC221" t="s">
        <v>218</v>
      </c>
      <c r="AE221" t="s">
        <v>218</v>
      </c>
      <c r="AF221" t="s">
        <v>581</v>
      </c>
      <c r="AG221" t="s">
        <v>341</v>
      </c>
      <c r="AH221" t="s">
        <v>265</v>
      </c>
    </row>
    <row r="222" spans="1:34" x14ac:dyDescent="0.2">
      <c r="A222" t="s">
        <v>106</v>
      </c>
      <c r="B222" t="s">
        <v>217</v>
      </c>
      <c r="C222" t="s">
        <v>302</v>
      </c>
      <c r="D222" t="s">
        <v>695</v>
      </c>
      <c r="E222" t="s">
        <v>267</v>
      </c>
      <c r="F222" t="s">
        <v>155</v>
      </c>
      <c r="G222" t="s">
        <v>285</v>
      </c>
      <c r="H222" t="s">
        <v>23</v>
      </c>
      <c r="I222" t="s">
        <v>637</v>
      </c>
      <c r="J222" t="s">
        <v>179</v>
      </c>
      <c r="K222" t="s">
        <v>117</v>
      </c>
      <c r="L222" t="s">
        <v>259</v>
      </c>
      <c r="M222" t="s">
        <v>218</v>
      </c>
      <c r="P222">
        <v>1601</v>
      </c>
      <c r="Q222">
        <v>0</v>
      </c>
      <c r="R222" t="s">
        <v>323</v>
      </c>
      <c r="S222" s="50">
        <v>44317</v>
      </c>
      <c r="T222" s="50">
        <v>46054</v>
      </c>
      <c r="U222" s="50">
        <v>46022</v>
      </c>
      <c r="V222" t="s">
        <v>218</v>
      </c>
      <c r="X222" s="50">
        <v>46054</v>
      </c>
      <c r="Y222" t="s">
        <v>604</v>
      </c>
      <c r="Z222" t="s">
        <v>604</v>
      </c>
      <c r="AA222" t="s">
        <v>57</v>
      </c>
      <c r="AB222" t="s">
        <v>57</v>
      </c>
      <c r="AC222" t="s">
        <v>218</v>
      </c>
      <c r="AD222" s="50">
        <v>45558</v>
      </c>
      <c r="AE222" t="s">
        <v>307</v>
      </c>
      <c r="AF222" t="s">
        <v>582</v>
      </c>
      <c r="AG222" t="s">
        <v>485</v>
      </c>
      <c r="AH222" t="s">
        <v>265</v>
      </c>
    </row>
    <row r="223" spans="1:34" x14ac:dyDescent="0.2">
      <c r="A223" t="s">
        <v>583</v>
      </c>
      <c r="B223" t="s">
        <v>217</v>
      </c>
      <c r="C223" t="s">
        <v>302</v>
      </c>
      <c r="D223" t="s">
        <v>695</v>
      </c>
      <c r="E223" t="s">
        <v>267</v>
      </c>
      <c r="F223" t="s">
        <v>155</v>
      </c>
      <c r="G223" t="s">
        <v>319</v>
      </c>
      <c r="H223" t="s">
        <v>20</v>
      </c>
      <c r="I223" t="s">
        <v>626</v>
      </c>
      <c r="J223" t="s">
        <v>53</v>
      </c>
      <c r="K223" t="s">
        <v>39</v>
      </c>
      <c r="L223" t="s">
        <v>259</v>
      </c>
      <c r="M223" t="s">
        <v>218</v>
      </c>
      <c r="P223">
        <v>513</v>
      </c>
      <c r="Q223">
        <v>0</v>
      </c>
      <c r="R223" t="s">
        <v>323</v>
      </c>
      <c r="S223" s="50">
        <v>45008</v>
      </c>
      <c r="T223" s="50">
        <v>45900</v>
      </c>
      <c r="U223" s="50">
        <v>45899</v>
      </c>
      <c r="V223" t="s">
        <v>602</v>
      </c>
      <c r="W223" s="50">
        <v>45518</v>
      </c>
      <c r="X223" s="50">
        <v>45900</v>
      </c>
      <c r="Y223" t="s">
        <v>26</v>
      </c>
      <c r="Z223" t="s">
        <v>26</v>
      </c>
      <c r="AA223" t="s">
        <v>26</v>
      </c>
      <c r="AB223" t="s">
        <v>57</v>
      </c>
      <c r="AC223" t="s">
        <v>218</v>
      </c>
      <c r="AD223" s="50">
        <v>45642</v>
      </c>
      <c r="AE223" t="s">
        <v>307</v>
      </c>
      <c r="AF223" t="s">
        <v>584</v>
      </c>
      <c r="AG223" t="s">
        <v>585</v>
      </c>
      <c r="AH223" t="s">
        <v>265</v>
      </c>
    </row>
    <row r="224" spans="1:34" x14ac:dyDescent="0.2">
      <c r="A224" t="s">
        <v>675</v>
      </c>
      <c r="B224" t="s">
        <v>217</v>
      </c>
      <c r="C224" t="s">
        <v>606</v>
      </c>
      <c r="D224" t="s">
        <v>695</v>
      </c>
      <c r="F224" t="s">
        <v>218</v>
      </c>
      <c r="G224" t="s">
        <v>218</v>
      </c>
      <c r="H224" t="s">
        <v>20</v>
      </c>
      <c r="I224" t="s">
        <v>218</v>
      </c>
      <c r="J224" t="s">
        <v>218</v>
      </c>
      <c r="K224" t="s">
        <v>218</v>
      </c>
      <c r="L224" t="s">
        <v>259</v>
      </c>
      <c r="M224" t="s">
        <v>218</v>
      </c>
      <c r="O224" s="58">
        <v>102953</v>
      </c>
      <c r="P224">
        <v>0</v>
      </c>
      <c r="Q224">
        <v>0</v>
      </c>
      <c r="R224" t="s">
        <v>218</v>
      </c>
      <c r="V224" t="s">
        <v>219</v>
      </c>
      <c r="Y224" t="s">
        <v>218</v>
      </c>
      <c r="Z224" t="s">
        <v>218</v>
      </c>
      <c r="AA224" t="s">
        <v>218</v>
      </c>
      <c r="AB224" t="s">
        <v>218</v>
      </c>
      <c r="AC224" t="s">
        <v>218</v>
      </c>
      <c r="AE224" t="s">
        <v>218</v>
      </c>
      <c r="AF224" t="s">
        <v>218</v>
      </c>
      <c r="AG224" t="s">
        <v>218</v>
      </c>
      <c r="AH224" t="s">
        <v>265</v>
      </c>
    </row>
    <row r="225" spans="1:34" x14ac:dyDescent="0.2">
      <c r="A225" t="s">
        <v>586</v>
      </c>
      <c r="B225" t="s">
        <v>217</v>
      </c>
      <c r="C225" t="s">
        <v>282</v>
      </c>
      <c r="D225" t="s">
        <v>695</v>
      </c>
      <c r="E225" t="s">
        <v>276</v>
      </c>
      <c r="F225" t="s">
        <v>218</v>
      </c>
      <c r="G225" t="s">
        <v>218</v>
      </c>
      <c r="H225" t="s">
        <v>20</v>
      </c>
      <c r="I225" t="s">
        <v>626</v>
      </c>
      <c r="J225" t="s">
        <v>218</v>
      </c>
      <c r="K225" t="s">
        <v>218</v>
      </c>
      <c r="L225" t="s">
        <v>259</v>
      </c>
      <c r="M225" t="s">
        <v>218</v>
      </c>
      <c r="P225">
        <v>0</v>
      </c>
      <c r="Q225">
        <v>0</v>
      </c>
      <c r="R225" t="s">
        <v>261</v>
      </c>
      <c r="S225" s="50">
        <v>44811</v>
      </c>
      <c r="T225" s="50">
        <v>44895</v>
      </c>
      <c r="U225" s="50">
        <v>44895</v>
      </c>
      <c r="V225" t="s">
        <v>282</v>
      </c>
      <c r="Y225" t="s">
        <v>218</v>
      </c>
      <c r="Z225" t="s">
        <v>218</v>
      </c>
      <c r="AA225" t="s">
        <v>218</v>
      </c>
      <c r="AB225" t="s">
        <v>218</v>
      </c>
      <c r="AC225" t="s">
        <v>218</v>
      </c>
      <c r="AE225" t="s">
        <v>218</v>
      </c>
      <c r="AF225" t="s">
        <v>587</v>
      </c>
      <c r="AG225" t="s">
        <v>427</v>
      </c>
      <c r="AH225" t="s">
        <v>265</v>
      </c>
    </row>
    <row r="226" spans="1:34" x14ac:dyDescent="0.2">
      <c r="A226" t="s">
        <v>588</v>
      </c>
      <c r="B226" t="s">
        <v>217</v>
      </c>
      <c r="C226" t="s">
        <v>282</v>
      </c>
      <c r="D226" t="s">
        <v>695</v>
      </c>
      <c r="E226" t="s">
        <v>276</v>
      </c>
      <c r="F226" t="s">
        <v>218</v>
      </c>
      <c r="G226" t="s">
        <v>218</v>
      </c>
      <c r="H226" t="s">
        <v>20</v>
      </c>
      <c r="I226" t="s">
        <v>676</v>
      </c>
      <c r="J226" t="s">
        <v>218</v>
      </c>
      <c r="K226" t="s">
        <v>218</v>
      </c>
      <c r="L226" t="s">
        <v>268</v>
      </c>
      <c r="M226" t="s">
        <v>218</v>
      </c>
      <c r="P226">
        <v>0</v>
      </c>
      <c r="Q226">
        <v>0</v>
      </c>
      <c r="R226" t="s">
        <v>261</v>
      </c>
      <c r="S226" s="50">
        <v>44810</v>
      </c>
      <c r="T226" s="50">
        <v>44926</v>
      </c>
      <c r="U226" s="50">
        <v>44926</v>
      </c>
      <c r="V226" t="s">
        <v>282</v>
      </c>
      <c r="Y226" t="s">
        <v>218</v>
      </c>
      <c r="Z226" t="s">
        <v>218</v>
      </c>
      <c r="AA226" t="s">
        <v>218</v>
      </c>
      <c r="AB226" t="s">
        <v>218</v>
      </c>
      <c r="AC226" t="s">
        <v>218</v>
      </c>
      <c r="AE226" t="s">
        <v>218</v>
      </c>
      <c r="AF226" t="s">
        <v>589</v>
      </c>
      <c r="AG226" t="s">
        <v>278</v>
      </c>
      <c r="AH226" t="s">
        <v>590</v>
      </c>
    </row>
    <row r="227" spans="1:34" x14ac:dyDescent="0.2">
      <c r="A227" t="s">
        <v>107</v>
      </c>
      <c r="B227" t="s">
        <v>266</v>
      </c>
      <c r="C227" t="s">
        <v>256</v>
      </c>
      <c r="D227" t="s">
        <v>256</v>
      </c>
      <c r="E227" t="s">
        <v>267</v>
      </c>
      <c r="F227" t="s">
        <v>155</v>
      </c>
      <c r="G227" t="s">
        <v>218</v>
      </c>
      <c r="H227" t="s">
        <v>85</v>
      </c>
      <c r="I227" t="s">
        <v>626</v>
      </c>
      <c r="J227" t="s">
        <v>177</v>
      </c>
      <c r="K227" t="s">
        <v>218</v>
      </c>
      <c r="L227" t="s">
        <v>259</v>
      </c>
      <c r="M227" t="s">
        <v>218</v>
      </c>
      <c r="N227" s="58">
        <v>10000</v>
      </c>
      <c r="P227">
        <v>1216</v>
      </c>
      <c r="Q227">
        <v>62</v>
      </c>
      <c r="R227" t="s">
        <v>261</v>
      </c>
      <c r="S227" s="50">
        <v>45658</v>
      </c>
      <c r="T227" s="50">
        <v>46387</v>
      </c>
      <c r="U227" s="50">
        <v>46112</v>
      </c>
      <c r="V227" t="s">
        <v>218</v>
      </c>
      <c r="Y227" t="s">
        <v>604</v>
      </c>
      <c r="Z227" t="s">
        <v>604</v>
      </c>
      <c r="AA227" t="s">
        <v>57</v>
      </c>
      <c r="AB227" t="s">
        <v>612</v>
      </c>
      <c r="AC227" t="s">
        <v>218</v>
      </c>
      <c r="AE227" t="s">
        <v>307</v>
      </c>
      <c r="AF227" t="s">
        <v>591</v>
      </c>
      <c r="AG227" t="s">
        <v>341</v>
      </c>
      <c r="AH227" t="s">
        <v>265</v>
      </c>
    </row>
    <row r="228" spans="1:34" x14ac:dyDescent="0.2">
      <c r="A228" t="s">
        <v>107</v>
      </c>
      <c r="B228" t="s">
        <v>217</v>
      </c>
      <c r="C228" t="s">
        <v>256</v>
      </c>
      <c r="D228" t="s">
        <v>256</v>
      </c>
      <c r="E228" t="s">
        <v>267</v>
      </c>
      <c r="F228" t="s">
        <v>149</v>
      </c>
      <c r="G228" t="s">
        <v>285</v>
      </c>
      <c r="H228" t="s">
        <v>23</v>
      </c>
      <c r="I228" t="s">
        <v>626</v>
      </c>
      <c r="J228" t="s">
        <v>177</v>
      </c>
      <c r="K228" t="s">
        <v>117</v>
      </c>
      <c r="L228" t="s">
        <v>259</v>
      </c>
      <c r="M228" t="s">
        <v>218</v>
      </c>
      <c r="N228" s="58">
        <v>25000</v>
      </c>
      <c r="P228">
        <v>1216</v>
      </c>
      <c r="Q228">
        <v>62</v>
      </c>
      <c r="R228" t="s">
        <v>323</v>
      </c>
      <c r="S228" s="50">
        <v>44378</v>
      </c>
      <c r="T228" s="50">
        <v>46112</v>
      </c>
      <c r="U228" s="50">
        <v>46022</v>
      </c>
      <c r="V228" t="s">
        <v>602</v>
      </c>
      <c r="W228" s="50">
        <v>45653</v>
      </c>
      <c r="Y228" t="s">
        <v>604</v>
      </c>
      <c r="Z228" t="s">
        <v>604</v>
      </c>
      <c r="AA228" t="s">
        <v>57</v>
      </c>
      <c r="AB228" t="s">
        <v>612</v>
      </c>
      <c r="AC228" t="s">
        <v>218</v>
      </c>
      <c r="AD228" s="50">
        <v>45559</v>
      </c>
      <c r="AE228" t="s">
        <v>307</v>
      </c>
      <c r="AF228" t="s">
        <v>591</v>
      </c>
      <c r="AG228" t="s">
        <v>341</v>
      </c>
      <c r="AH228" t="s">
        <v>265</v>
      </c>
    </row>
    <row r="229" spans="1:34" x14ac:dyDescent="0.2">
      <c r="A229" t="s">
        <v>108</v>
      </c>
      <c r="B229" t="s">
        <v>217</v>
      </c>
      <c r="C229" t="s">
        <v>256</v>
      </c>
      <c r="D229" t="s">
        <v>256</v>
      </c>
      <c r="E229" t="s">
        <v>267</v>
      </c>
      <c r="F229" t="s">
        <v>161</v>
      </c>
      <c r="G229" t="s">
        <v>349</v>
      </c>
      <c r="H229" t="s">
        <v>23</v>
      </c>
      <c r="I229" t="s">
        <v>626</v>
      </c>
      <c r="J229" t="s">
        <v>69</v>
      </c>
      <c r="K229" t="s">
        <v>115</v>
      </c>
      <c r="L229" t="s">
        <v>259</v>
      </c>
      <c r="M229" t="s">
        <v>316</v>
      </c>
      <c r="N229" s="58">
        <v>57089</v>
      </c>
      <c r="O229" s="58">
        <v>11418</v>
      </c>
      <c r="P229">
        <v>1165</v>
      </c>
      <c r="Q229">
        <v>0</v>
      </c>
      <c r="R229" t="s">
        <v>261</v>
      </c>
      <c r="S229" s="50">
        <v>45505</v>
      </c>
      <c r="T229" s="50">
        <v>46964</v>
      </c>
      <c r="U229" s="50">
        <v>46933</v>
      </c>
      <c r="V229" t="s">
        <v>602</v>
      </c>
      <c r="W229" s="50">
        <v>45839</v>
      </c>
      <c r="Y229" t="s">
        <v>26</v>
      </c>
      <c r="Z229" t="s">
        <v>26</v>
      </c>
      <c r="AA229" t="s">
        <v>57</v>
      </c>
      <c r="AB229" t="s">
        <v>26</v>
      </c>
      <c r="AC229" t="s">
        <v>86</v>
      </c>
      <c r="AD229" s="50">
        <v>46007</v>
      </c>
      <c r="AE229" t="s">
        <v>274</v>
      </c>
      <c r="AF229" t="s">
        <v>592</v>
      </c>
      <c r="AG229" t="s">
        <v>427</v>
      </c>
      <c r="AH229" t="s">
        <v>265</v>
      </c>
    </row>
    <row r="230" spans="1:34" x14ac:dyDescent="0.2">
      <c r="A230" t="s">
        <v>110</v>
      </c>
      <c r="B230" t="s">
        <v>217</v>
      </c>
      <c r="C230" t="s">
        <v>282</v>
      </c>
      <c r="D230" t="s">
        <v>695</v>
      </c>
      <c r="E230" t="s">
        <v>257</v>
      </c>
      <c r="F230" t="s">
        <v>155</v>
      </c>
      <c r="G230" t="s">
        <v>614</v>
      </c>
      <c r="H230" t="s">
        <v>20</v>
      </c>
      <c r="I230" t="s">
        <v>626</v>
      </c>
      <c r="J230" t="s">
        <v>177</v>
      </c>
      <c r="K230" t="s">
        <v>117</v>
      </c>
      <c r="L230" t="s">
        <v>259</v>
      </c>
      <c r="M230" t="s">
        <v>218</v>
      </c>
      <c r="P230">
        <v>0</v>
      </c>
      <c r="Q230">
        <v>274</v>
      </c>
      <c r="R230" t="s">
        <v>261</v>
      </c>
      <c r="S230" s="50">
        <v>45565</v>
      </c>
      <c r="T230" s="50">
        <v>45961</v>
      </c>
      <c r="U230" s="50">
        <v>45929</v>
      </c>
      <c r="V230" t="s">
        <v>282</v>
      </c>
      <c r="Y230" t="s">
        <v>57</v>
      </c>
      <c r="Z230" t="s">
        <v>27</v>
      </c>
      <c r="AA230" t="s">
        <v>57</v>
      </c>
      <c r="AB230" t="s">
        <v>57</v>
      </c>
      <c r="AC230" t="s">
        <v>661</v>
      </c>
      <c r="AE230" t="s">
        <v>274</v>
      </c>
      <c r="AF230" t="s">
        <v>593</v>
      </c>
      <c r="AG230" t="s">
        <v>278</v>
      </c>
      <c r="AH230" t="s">
        <v>279</v>
      </c>
    </row>
    <row r="231" spans="1:34" x14ac:dyDescent="0.2">
      <c r="A231" t="s">
        <v>228</v>
      </c>
      <c r="B231" t="s">
        <v>217</v>
      </c>
      <c r="C231" t="s">
        <v>256</v>
      </c>
      <c r="D231" t="s">
        <v>256</v>
      </c>
      <c r="E231" t="s">
        <v>257</v>
      </c>
      <c r="F231" t="s">
        <v>155</v>
      </c>
      <c r="G231" t="s">
        <v>614</v>
      </c>
      <c r="H231" t="s">
        <v>20</v>
      </c>
      <c r="I231" t="s">
        <v>320</v>
      </c>
      <c r="J231" t="s">
        <v>44</v>
      </c>
      <c r="K231" t="s">
        <v>116</v>
      </c>
      <c r="L231" t="s">
        <v>259</v>
      </c>
      <c r="M231" t="s">
        <v>218</v>
      </c>
      <c r="N231" s="58">
        <v>25000</v>
      </c>
      <c r="O231" s="58">
        <v>55169</v>
      </c>
      <c r="P231">
        <v>250</v>
      </c>
      <c r="Q231">
        <v>0</v>
      </c>
      <c r="R231" t="s">
        <v>261</v>
      </c>
      <c r="S231" s="50">
        <v>45838</v>
      </c>
      <c r="T231" s="50">
        <v>46232</v>
      </c>
      <c r="U231" s="50">
        <v>46232</v>
      </c>
      <c r="V231" t="s">
        <v>219</v>
      </c>
      <c r="Y231" t="s">
        <v>26</v>
      </c>
      <c r="Z231" t="s">
        <v>26</v>
      </c>
      <c r="AA231" t="s">
        <v>57</v>
      </c>
      <c r="AB231" t="s">
        <v>57</v>
      </c>
      <c r="AC231" t="s">
        <v>662</v>
      </c>
      <c r="AD231" s="50">
        <v>45957</v>
      </c>
      <c r="AE231" t="s">
        <v>274</v>
      </c>
      <c r="AF231" t="s">
        <v>663</v>
      </c>
      <c r="AG231" t="s">
        <v>328</v>
      </c>
      <c r="AH231" t="s">
        <v>265</v>
      </c>
    </row>
    <row r="232" spans="1:34" x14ac:dyDescent="0.2">
      <c r="A232" t="s">
        <v>594</v>
      </c>
      <c r="B232" t="s">
        <v>217</v>
      </c>
      <c r="C232" t="s">
        <v>302</v>
      </c>
      <c r="D232" t="s">
        <v>695</v>
      </c>
      <c r="E232" t="s">
        <v>267</v>
      </c>
      <c r="F232" t="s">
        <v>218</v>
      </c>
      <c r="G232" t="s">
        <v>218</v>
      </c>
      <c r="I232" t="s">
        <v>637</v>
      </c>
      <c r="J232" t="s">
        <v>218</v>
      </c>
      <c r="K232" t="s">
        <v>218</v>
      </c>
      <c r="L232" t="s">
        <v>259</v>
      </c>
      <c r="M232" t="s">
        <v>286</v>
      </c>
      <c r="P232">
        <v>0</v>
      </c>
      <c r="Q232">
        <v>0</v>
      </c>
      <c r="R232" t="s">
        <v>383</v>
      </c>
      <c r="S232" s="50">
        <v>44378</v>
      </c>
      <c r="T232" s="50">
        <v>44927</v>
      </c>
      <c r="U232" s="50">
        <v>46387</v>
      </c>
      <c r="V232" t="s">
        <v>602</v>
      </c>
      <c r="W232" s="50">
        <v>44592</v>
      </c>
      <c r="X232" s="50">
        <v>44927</v>
      </c>
      <c r="Y232" t="s">
        <v>218</v>
      </c>
      <c r="Z232" t="s">
        <v>218</v>
      </c>
      <c r="AA232" t="s">
        <v>218</v>
      </c>
      <c r="AB232" t="s">
        <v>218</v>
      </c>
      <c r="AC232" t="s">
        <v>218</v>
      </c>
      <c r="AE232" t="s">
        <v>218</v>
      </c>
      <c r="AF232" t="s">
        <v>595</v>
      </c>
      <c r="AG232" t="s">
        <v>328</v>
      </c>
      <c r="AH232" t="s">
        <v>265</v>
      </c>
    </row>
    <row r="233" spans="1:34" x14ac:dyDescent="0.2">
      <c r="A233" t="s">
        <v>111</v>
      </c>
      <c r="B233" t="s">
        <v>217</v>
      </c>
      <c r="C233" t="s">
        <v>256</v>
      </c>
      <c r="D233" t="s">
        <v>256</v>
      </c>
      <c r="E233" t="s">
        <v>267</v>
      </c>
      <c r="F233" t="s">
        <v>144</v>
      </c>
      <c r="G233" t="s">
        <v>614</v>
      </c>
      <c r="H233" t="s">
        <v>32</v>
      </c>
      <c r="I233" t="s">
        <v>611</v>
      </c>
      <c r="J233" t="s">
        <v>207</v>
      </c>
      <c r="K233" t="s">
        <v>699</v>
      </c>
      <c r="L233" t="s">
        <v>268</v>
      </c>
      <c r="M233" t="s">
        <v>316</v>
      </c>
      <c r="N233" s="58">
        <v>2235000</v>
      </c>
      <c r="O233" s="58">
        <v>1890000</v>
      </c>
      <c r="P233">
        <v>45000</v>
      </c>
      <c r="Q233">
        <v>20000</v>
      </c>
      <c r="R233" t="s">
        <v>261</v>
      </c>
      <c r="S233" s="50">
        <v>44348</v>
      </c>
      <c r="T233" s="50">
        <v>46718</v>
      </c>
      <c r="U233" s="50">
        <v>46718</v>
      </c>
      <c r="V233" t="s">
        <v>602</v>
      </c>
      <c r="W233" s="50">
        <v>44449</v>
      </c>
      <c r="Y233" t="s">
        <v>27</v>
      </c>
      <c r="Z233" t="s">
        <v>27</v>
      </c>
      <c r="AA233" t="s">
        <v>607</v>
      </c>
      <c r="AB233" t="s">
        <v>27</v>
      </c>
      <c r="AC233" t="s">
        <v>715</v>
      </c>
      <c r="AD233" s="50">
        <v>45915</v>
      </c>
      <c r="AE233" t="s">
        <v>274</v>
      </c>
      <c r="AF233" t="s">
        <v>596</v>
      </c>
      <c r="AG233" t="s">
        <v>456</v>
      </c>
      <c r="AH233" t="s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FC85-B104-7C4A-90EF-2521F27EDD0F}">
  <dimension ref="A1:F100"/>
  <sheetViews>
    <sheetView workbookViewId="0">
      <selection activeCell="E73" sqref="E73"/>
    </sheetView>
  </sheetViews>
  <sheetFormatPr baseColWidth="10" defaultColWidth="11" defaultRowHeight="16" x14ac:dyDescent="0.2"/>
  <cols>
    <col min="1" max="1" width="45.6640625" bestFit="1" customWidth="1"/>
    <col min="2" max="3" width="14.5" bestFit="1" customWidth="1"/>
    <col min="5" max="5" width="48.5" style="41" bestFit="1" customWidth="1"/>
    <col min="6" max="6" width="17.6640625" style="73" bestFit="1" customWidth="1"/>
  </cols>
  <sheetData>
    <row r="1" spans="1:6" ht="19" x14ac:dyDescent="0.2">
      <c r="A1" s="32" t="s">
        <v>1</v>
      </c>
      <c r="B1" s="33" t="s">
        <v>597</v>
      </c>
      <c r="C1" s="33"/>
      <c r="E1" s="64"/>
      <c r="F1" s="69"/>
    </row>
    <row r="2" spans="1:6" x14ac:dyDescent="0.2">
      <c r="A2" s="34" t="s">
        <v>19</v>
      </c>
      <c r="B2" s="4">
        <v>45870</v>
      </c>
      <c r="C2" s="4"/>
      <c r="E2" s="65"/>
      <c r="F2" s="70"/>
    </row>
    <row r="3" spans="1:6" x14ac:dyDescent="0.2">
      <c r="A3" s="35" t="s">
        <v>22</v>
      </c>
      <c r="B3" s="4">
        <v>45931</v>
      </c>
      <c r="C3" s="4"/>
      <c r="E3" s="51"/>
      <c r="F3" s="71"/>
    </row>
    <row r="4" spans="1:6" x14ac:dyDescent="0.2">
      <c r="A4" s="34" t="s">
        <v>28</v>
      </c>
      <c r="B4" s="4">
        <v>45839</v>
      </c>
      <c r="C4" s="4"/>
      <c r="E4" s="66"/>
      <c r="F4" s="72"/>
    </row>
    <row r="5" spans="1:6" x14ac:dyDescent="0.2">
      <c r="A5" s="35" t="s">
        <v>291</v>
      </c>
      <c r="B5" s="4">
        <v>45778</v>
      </c>
      <c r="C5" s="4"/>
      <c r="E5" s="66"/>
      <c r="F5" s="72"/>
    </row>
    <row r="6" spans="1:6" x14ac:dyDescent="0.2">
      <c r="A6" s="34" t="s">
        <v>30</v>
      </c>
      <c r="B6" s="4">
        <v>45931</v>
      </c>
      <c r="C6" s="4"/>
      <c r="E6" s="66"/>
      <c r="F6" s="72"/>
    </row>
    <row r="7" spans="1:6" x14ac:dyDescent="0.2">
      <c r="A7" s="35" t="s">
        <v>35</v>
      </c>
      <c r="B7" s="4">
        <v>45778</v>
      </c>
      <c r="C7" s="4"/>
      <c r="E7" s="66"/>
      <c r="F7" s="72"/>
    </row>
    <row r="8" spans="1:6" x14ac:dyDescent="0.2">
      <c r="A8" s="34" t="s">
        <v>38</v>
      </c>
      <c r="B8" s="4">
        <v>45931</v>
      </c>
      <c r="C8" s="4"/>
      <c r="E8" s="67"/>
      <c r="F8" s="72"/>
    </row>
    <row r="9" spans="1:6" x14ac:dyDescent="0.2">
      <c r="A9" s="35" t="s">
        <v>41</v>
      </c>
      <c r="B9" s="4">
        <v>45901</v>
      </c>
      <c r="C9" s="4"/>
      <c r="E9" s="67"/>
      <c r="F9" s="72"/>
    </row>
    <row r="10" spans="1:6" x14ac:dyDescent="0.2">
      <c r="A10" s="34" t="s">
        <v>42</v>
      </c>
      <c r="B10" s="4">
        <v>45962</v>
      </c>
      <c r="C10" s="4"/>
      <c r="E10" s="67"/>
      <c r="F10" s="72"/>
    </row>
    <row r="11" spans="1:6" x14ac:dyDescent="0.2">
      <c r="A11" s="35" t="s">
        <v>43</v>
      </c>
      <c r="B11" s="4">
        <v>45839</v>
      </c>
      <c r="C11" s="4"/>
      <c r="E11" s="66"/>
      <c r="F11" s="72"/>
    </row>
    <row r="12" spans="1:6" x14ac:dyDescent="0.2">
      <c r="A12" s="34" t="s">
        <v>45</v>
      </c>
      <c r="B12" s="4">
        <v>45962</v>
      </c>
      <c r="C12" s="4"/>
      <c r="E12" s="66"/>
      <c r="F12" s="72"/>
    </row>
    <row r="13" spans="1:6" x14ac:dyDescent="0.2">
      <c r="A13" s="35" t="s">
        <v>46</v>
      </c>
      <c r="B13" s="4">
        <v>45839</v>
      </c>
      <c r="C13" s="4"/>
      <c r="E13" s="66"/>
      <c r="F13" s="72"/>
    </row>
    <row r="14" spans="1:6" x14ac:dyDescent="0.2">
      <c r="A14" s="34" t="s">
        <v>348</v>
      </c>
      <c r="B14" s="4">
        <v>45658</v>
      </c>
      <c r="C14" s="4"/>
      <c r="E14" s="67"/>
      <c r="F14" s="72"/>
    </row>
    <row r="15" spans="1:6" x14ac:dyDescent="0.2">
      <c r="A15" s="35" t="s">
        <v>47</v>
      </c>
      <c r="B15" s="4">
        <v>45839</v>
      </c>
      <c r="C15" s="4"/>
      <c r="E15" s="68"/>
      <c r="F15" s="72"/>
    </row>
    <row r="16" spans="1:6" x14ac:dyDescent="0.2">
      <c r="A16" s="34" t="s">
        <v>48</v>
      </c>
      <c r="B16" s="4">
        <v>45809</v>
      </c>
      <c r="C16" s="4"/>
      <c r="E16" s="66"/>
      <c r="F16" s="72"/>
    </row>
    <row r="17" spans="1:6" x14ac:dyDescent="0.2">
      <c r="A17" s="35" t="s">
        <v>50</v>
      </c>
      <c r="B17" s="4">
        <v>45870</v>
      </c>
      <c r="C17" s="4"/>
      <c r="E17" s="66"/>
      <c r="F17" s="72"/>
    </row>
    <row r="18" spans="1:6" x14ac:dyDescent="0.2">
      <c r="A18" s="34" t="s">
        <v>52</v>
      </c>
      <c r="B18" s="4">
        <v>45778</v>
      </c>
      <c r="C18" s="4"/>
      <c r="E18" s="68"/>
      <c r="F18" s="72"/>
    </row>
    <row r="19" spans="1:6" x14ac:dyDescent="0.2">
      <c r="A19" s="35" t="s">
        <v>364</v>
      </c>
      <c r="B19" s="4">
        <v>45962</v>
      </c>
      <c r="C19" s="4"/>
      <c r="E19" s="66"/>
      <c r="F19" s="72"/>
    </row>
    <row r="20" spans="1:6" x14ac:dyDescent="0.2">
      <c r="A20" s="34" t="s">
        <v>188</v>
      </c>
      <c r="B20" s="4">
        <v>45931</v>
      </c>
      <c r="C20" s="4"/>
      <c r="E20" s="67"/>
      <c r="F20" s="72"/>
    </row>
    <row r="21" spans="1:6" x14ac:dyDescent="0.2">
      <c r="A21" s="35" t="s">
        <v>54</v>
      </c>
      <c r="B21" s="4">
        <v>45870</v>
      </c>
      <c r="C21" s="4"/>
      <c r="E21" s="66"/>
      <c r="F21" s="72"/>
    </row>
    <row r="22" spans="1:6" x14ac:dyDescent="0.2">
      <c r="A22" s="34" t="s">
        <v>56</v>
      </c>
      <c r="B22" s="4">
        <v>45962</v>
      </c>
      <c r="C22" s="4"/>
      <c r="E22" s="67"/>
      <c r="F22" s="72"/>
    </row>
    <row r="23" spans="1:6" x14ac:dyDescent="0.2">
      <c r="A23" s="35" t="s">
        <v>58</v>
      </c>
      <c r="B23" s="4">
        <v>45901</v>
      </c>
      <c r="C23" s="4"/>
      <c r="E23" s="67"/>
      <c r="F23" s="72"/>
    </row>
    <row r="24" spans="1:6" x14ac:dyDescent="0.2">
      <c r="A24" s="34" t="s">
        <v>59</v>
      </c>
      <c r="B24" s="4">
        <v>45717</v>
      </c>
      <c r="C24" s="4"/>
      <c r="E24" s="66"/>
      <c r="F24" s="72"/>
    </row>
    <row r="25" spans="1:6" x14ac:dyDescent="0.2">
      <c r="A25" s="35" t="s">
        <v>61</v>
      </c>
      <c r="B25" s="4">
        <v>45778</v>
      </c>
      <c r="C25" s="4"/>
      <c r="E25" s="66"/>
      <c r="F25" s="72"/>
    </row>
    <row r="26" spans="1:6" x14ac:dyDescent="0.2">
      <c r="A26" s="34" t="s">
        <v>62</v>
      </c>
      <c r="B26" s="4">
        <v>45717</v>
      </c>
      <c r="C26" s="4"/>
      <c r="E26" s="67"/>
      <c r="F26" s="72"/>
    </row>
    <row r="27" spans="1:6" x14ac:dyDescent="0.2">
      <c r="A27" s="35" t="s">
        <v>192</v>
      </c>
      <c r="B27" s="4">
        <v>45931</v>
      </c>
      <c r="C27" s="4"/>
      <c r="E27" s="66"/>
      <c r="F27" s="72"/>
    </row>
    <row r="28" spans="1:6" x14ac:dyDescent="0.2">
      <c r="A28" s="34" t="s">
        <v>63</v>
      </c>
      <c r="B28" s="4">
        <v>45658</v>
      </c>
      <c r="C28" s="4"/>
      <c r="E28" s="68"/>
      <c r="F28" s="72"/>
    </row>
    <row r="29" spans="1:6" x14ac:dyDescent="0.2">
      <c r="A29" s="35" t="s">
        <v>401</v>
      </c>
      <c r="B29" s="4">
        <v>45962</v>
      </c>
      <c r="C29" s="4"/>
      <c r="E29" s="67"/>
      <c r="F29" s="72"/>
    </row>
    <row r="30" spans="1:6" x14ac:dyDescent="0.2">
      <c r="A30" s="34" t="s">
        <v>64</v>
      </c>
      <c r="B30" s="4">
        <v>45717</v>
      </c>
      <c r="C30" s="4"/>
      <c r="E30" s="68"/>
      <c r="F30" s="72"/>
    </row>
    <row r="31" spans="1:6" x14ac:dyDescent="0.2">
      <c r="A31" s="35" t="s">
        <v>65</v>
      </c>
      <c r="B31" s="4">
        <v>45931</v>
      </c>
      <c r="C31" s="4"/>
      <c r="E31" s="66"/>
      <c r="F31" s="72"/>
    </row>
    <row r="32" spans="1:6" x14ac:dyDescent="0.2">
      <c r="A32" s="34" t="s">
        <v>66</v>
      </c>
      <c r="B32" s="4">
        <v>45901</v>
      </c>
      <c r="C32" s="4"/>
      <c r="E32" s="66"/>
      <c r="F32" s="72"/>
    </row>
    <row r="33" spans="1:6" x14ac:dyDescent="0.2">
      <c r="A33" s="35" t="s">
        <v>67</v>
      </c>
      <c r="B33" s="4">
        <v>45901</v>
      </c>
      <c r="C33" s="4"/>
      <c r="E33" s="66"/>
      <c r="F33" s="72"/>
    </row>
    <row r="34" spans="1:6" x14ac:dyDescent="0.2">
      <c r="A34" s="34" t="s">
        <v>68</v>
      </c>
      <c r="B34" s="4">
        <v>45931</v>
      </c>
      <c r="C34" s="4"/>
      <c r="E34" s="66"/>
      <c r="F34" s="72"/>
    </row>
    <row r="35" spans="1:6" x14ac:dyDescent="0.2">
      <c r="A35" s="35" t="s">
        <v>70</v>
      </c>
      <c r="B35" s="4">
        <v>45717</v>
      </c>
      <c r="C35" s="4"/>
      <c r="E35" s="67"/>
      <c r="F35" s="72"/>
    </row>
    <row r="36" spans="1:6" x14ac:dyDescent="0.2">
      <c r="A36" s="34" t="s">
        <v>71</v>
      </c>
      <c r="B36" s="4">
        <v>45839</v>
      </c>
      <c r="C36" s="4"/>
      <c r="E36" s="67"/>
      <c r="F36" s="72"/>
    </row>
    <row r="37" spans="1:6" x14ac:dyDescent="0.2">
      <c r="A37" s="35" t="s">
        <v>72</v>
      </c>
      <c r="B37" s="4">
        <v>45901</v>
      </c>
      <c r="C37" s="4"/>
      <c r="E37" s="66"/>
      <c r="F37" s="72"/>
    </row>
    <row r="38" spans="1:6" x14ac:dyDescent="0.2">
      <c r="A38" s="34" t="s">
        <v>73</v>
      </c>
      <c r="B38" s="4">
        <v>45901</v>
      </c>
      <c r="C38" s="4"/>
      <c r="E38" s="68"/>
      <c r="F38" s="72"/>
    </row>
    <row r="39" spans="1:6" x14ac:dyDescent="0.2">
      <c r="A39" s="35" t="s">
        <v>74</v>
      </c>
      <c r="B39" s="4" t="s">
        <v>220</v>
      </c>
      <c r="C39" s="4"/>
      <c r="E39" s="66"/>
      <c r="F39" s="72"/>
    </row>
    <row r="40" spans="1:6" x14ac:dyDescent="0.2">
      <c r="A40" s="34" t="s">
        <v>75</v>
      </c>
      <c r="B40" s="4">
        <v>45717</v>
      </c>
      <c r="C40" s="4"/>
      <c r="E40" s="66"/>
      <c r="F40" s="72"/>
    </row>
    <row r="41" spans="1:6" x14ac:dyDescent="0.2">
      <c r="A41" s="35" t="s">
        <v>76</v>
      </c>
      <c r="B41" s="4">
        <v>45809</v>
      </c>
      <c r="C41" s="4"/>
      <c r="E41" s="66"/>
      <c r="F41" s="72"/>
    </row>
    <row r="42" spans="1:6" x14ac:dyDescent="0.2">
      <c r="A42" s="34" t="s">
        <v>76</v>
      </c>
      <c r="B42" s="4">
        <v>45809</v>
      </c>
      <c r="C42" s="4"/>
      <c r="E42" s="66"/>
      <c r="F42" s="72"/>
    </row>
    <row r="43" spans="1:6" x14ac:dyDescent="0.2">
      <c r="A43" s="35" t="s">
        <v>77</v>
      </c>
      <c r="B43" s="4">
        <v>45992</v>
      </c>
      <c r="C43" s="4"/>
      <c r="E43" s="66"/>
      <c r="F43" s="72"/>
    </row>
    <row r="44" spans="1:6" x14ac:dyDescent="0.2">
      <c r="A44" s="34" t="s">
        <v>78</v>
      </c>
      <c r="B44" s="4">
        <v>45870</v>
      </c>
      <c r="C44" s="4"/>
      <c r="E44" s="66"/>
      <c r="F44" s="72"/>
    </row>
    <row r="45" spans="1:6" x14ac:dyDescent="0.2">
      <c r="A45" s="35" t="s">
        <v>79</v>
      </c>
      <c r="B45" s="4">
        <v>45870</v>
      </c>
      <c r="C45" s="4"/>
      <c r="E45" s="66"/>
      <c r="F45" s="72"/>
    </row>
    <row r="46" spans="1:6" x14ac:dyDescent="0.2">
      <c r="A46" s="34" t="s">
        <v>80</v>
      </c>
      <c r="B46" s="4">
        <v>45931</v>
      </c>
      <c r="C46" s="4"/>
      <c r="E46" s="66"/>
      <c r="F46" s="72"/>
    </row>
    <row r="47" spans="1:6" x14ac:dyDescent="0.2">
      <c r="A47" s="35" t="s">
        <v>81</v>
      </c>
      <c r="B47" s="4">
        <v>45931</v>
      </c>
      <c r="C47" s="4"/>
      <c r="E47" s="67"/>
      <c r="F47" s="72"/>
    </row>
    <row r="48" spans="1:6" x14ac:dyDescent="0.2">
      <c r="A48" s="34" t="s">
        <v>472</v>
      </c>
      <c r="B48" s="4">
        <v>45901</v>
      </c>
      <c r="C48" s="4"/>
      <c r="E48" s="66"/>
      <c r="F48" s="72"/>
    </row>
    <row r="49" spans="1:6" x14ac:dyDescent="0.2">
      <c r="A49" s="35" t="s">
        <v>475</v>
      </c>
      <c r="B49" s="4">
        <v>45809</v>
      </c>
      <c r="C49" s="4"/>
      <c r="E49" s="66"/>
      <c r="F49" s="72"/>
    </row>
    <row r="50" spans="1:6" x14ac:dyDescent="0.2">
      <c r="A50" s="34" t="s">
        <v>82</v>
      </c>
      <c r="B50" s="4">
        <v>45962</v>
      </c>
      <c r="C50" s="4"/>
      <c r="E50" s="67"/>
      <c r="F50" s="72"/>
    </row>
    <row r="51" spans="1:6" x14ac:dyDescent="0.2">
      <c r="A51" s="35" t="s">
        <v>84</v>
      </c>
      <c r="B51" s="4">
        <v>45839</v>
      </c>
      <c r="C51" s="4"/>
      <c r="E51" s="67"/>
      <c r="F51" s="72"/>
    </row>
    <row r="52" spans="1:6" x14ac:dyDescent="0.2">
      <c r="A52" s="34" t="s">
        <v>488</v>
      </c>
      <c r="B52" s="4">
        <v>45778</v>
      </c>
      <c r="C52" s="4"/>
      <c r="E52" s="67"/>
      <c r="F52" s="72"/>
    </row>
    <row r="53" spans="1:6" x14ac:dyDescent="0.2">
      <c r="A53" s="35" t="s">
        <v>490</v>
      </c>
      <c r="B53" s="4">
        <v>45748</v>
      </c>
      <c r="C53" s="4"/>
      <c r="E53" s="66"/>
      <c r="F53" s="72"/>
    </row>
    <row r="54" spans="1:6" x14ac:dyDescent="0.2">
      <c r="A54" s="34" t="s">
        <v>87</v>
      </c>
      <c r="B54" s="4">
        <v>45870</v>
      </c>
      <c r="C54" s="4"/>
      <c r="E54" s="66"/>
      <c r="F54" s="72"/>
    </row>
    <row r="55" spans="1:6" x14ac:dyDescent="0.2">
      <c r="A55" s="35" t="s">
        <v>88</v>
      </c>
      <c r="B55" s="4">
        <v>45962</v>
      </c>
      <c r="C55" s="4"/>
      <c r="E55" s="68"/>
      <c r="F55" s="72"/>
    </row>
    <row r="56" spans="1:6" x14ac:dyDescent="0.2">
      <c r="A56" s="34" t="s">
        <v>89</v>
      </c>
      <c r="B56" s="4">
        <v>45839</v>
      </c>
      <c r="C56" s="4"/>
      <c r="E56" s="66"/>
      <c r="F56" s="72"/>
    </row>
    <row r="57" spans="1:6" x14ac:dyDescent="0.2">
      <c r="A57" s="35" t="s">
        <v>90</v>
      </c>
      <c r="B57" s="4">
        <v>45931</v>
      </c>
      <c r="C57" s="4"/>
      <c r="E57" s="66"/>
      <c r="F57" s="72"/>
    </row>
    <row r="58" spans="1:6" x14ac:dyDescent="0.2">
      <c r="A58" s="34" t="s">
        <v>91</v>
      </c>
      <c r="B58" s="4">
        <v>45778</v>
      </c>
      <c r="C58" s="4"/>
      <c r="E58" s="67"/>
      <c r="F58" s="72"/>
    </row>
    <row r="59" spans="1:6" x14ac:dyDescent="0.2">
      <c r="A59" s="35" t="s">
        <v>517</v>
      </c>
      <c r="B59" s="4">
        <v>45658</v>
      </c>
      <c r="C59" s="4"/>
      <c r="E59" s="66"/>
      <c r="F59" s="72"/>
    </row>
    <row r="60" spans="1:6" x14ac:dyDescent="0.2">
      <c r="A60" s="34" t="s">
        <v>92</v>
      </c>
      <c r="B60" s="4">
        <v>45870</v>
      </c>
      <c r="C60" s="4"/>
      <c r="E60" s="67"/>
      <c r="F60" s="72"/>
    </row>
    <row r="61" spans="1:6" x14ac:dyDescent="0.2">
      <c r="A61" s="35" t="s">
        <v>94</v>
      </c>
      <c r="B61" s="4">
        <v>45778</v>
      </c>
      <c r="C61" s="4"/>
      <c r="E61" s="67"/>
      <c r="F61" s="72"/>
    </row>
    <row r="62" spans="1:6" x14ac:dyDescent="0.2">
      <c r="A62" s="34" t="s">
        <v>96</v>
      </c>
      <c r="B62" s="4">
        <v>45901</v>
      </c>
      <c r="C62" s="4"/>
      <c r="E62" s="66"/>
      <c r="F62" s="72"/>
    </row>
    <row r="63" spans="1:6" x14ac:dyDescent="0.2">
      <c r="A63" s="35" t="s">
        <v>97</v>
      </c>
      <c r="B63" s="4">
        <v>45901</v>
      </c>
      <c r="C63" s="4"/>
      <c r="E63" s="66"/>
      <c r="F63" s="72"/>
    </row>
    <row r="64" spans="1:6" x14ac:dyDescent="0.2">
      <c r="A64" s="34" t="s">
        <v>98</v>
      </c>
      <c r="B64" s="4">
        <v>45870</v>
      </c>
      <c r="C64" s="4"/>
      <c r="E64" s="66"/>
      <c r="F64" s="72"/>
    </row>
    <row r="65" spans="1:6" x14ac:dyDescent="0.2">
      <c r="A65" s="35" t="s">
        <v>559</v>
      </c>
      <c r="B65" s="4">
        <v>45839</v>
      </c>
      <c r="C65" s="4"/>
      <c r="E65" s="67"/>
      <c r="F65" s="72"/>
    </row>
    <row r="66" spans="1:6" x14ac:dyDescent="0.2">
      <c r="A66" s="34" t="s">
        <v>99</v>
      </c>
      <c r="B66" s="4">
        <v>45717</v>
      </c>
      <c r="C66" s="4"/>
      <c r="E66" s="66"/>
      <c r="F66" s="72"/>
    </row>
    <row r="67" spans="1:6" x14ac:dyDescent="0.2">
      <c r="A67" s="35" t="s">
        <v>100</v>
      </c>
      <c r="B67" s="4">
        <v>45931</v>
      </c>
      <c r="C67" s="4"/>
      <c r="E67" s="66"/>
      <c r="F67" s="72"/>
    </row>
    <row r="68" spans="1:6" x14ac:dyDescent="0.2">
      <c r="A68" s="34" t="s">
        <v>101</v>
      </c>
      <c r="B68" s="4">
        <v>45992</v>
      </c>
      <c r="C68" s="4"/>
      <c r="E68" s="67"/>
      <c r="F68" s="72"/>
    </row>
    <row r="69" spans="1:6" x14ac:dyDescent="0.2">
      <c r="A69" s="35" t="s">
        <v>102</v>
      </c>
      <c r="B69" s="4">
        <v>45870</v>
      </c>
      <c r="C69" s="4"/>
      <c r="E69" s="66"/>
      <c r="F69" s="72"/>
    </row>
    <row r="70" spans="1:6" x14ac:dyDescent="0.2">
      <c r="A70" s="34" t="s">
        <v>103</v>
      </c>
      <c r="B70" s="4">
        <v>45870</v>
      </c>
      <c r="C70" s="4"/>
      <c r="E70" s="66"/>
      <c r="F70" s="72"/>
    </row>
    <row r="71" spans="1:6" x14ac:dyDescent="0.2">
      <c r="A71" s="35" t="s">
        <v>104</v>
      </c>
      <c r="B71" s="4">
        <v>45870</v>
      </c>
      <c r="C71" s="4"/>
      <c r="E71" s="67"/>
      <c r="F71" s="72"/>
    </row>
    <row r="72" spans="1:6" x14ac:dyDescent="0.2">
      <c r="A72" s="34" t="s">
        <v>105</v>
      </c>
      <c r="B72" s="4">
        <v>45901</v>
      </c>
      <c r="C72" s="4"/>
      <c r="E72" s="66"/>
      <c r="F72" s="72"/>
    </row>
    <row r="73" spans="1:6" x14ac:dyDescent="0.2">
      <c r="A73" s="35" t="s">
        <v>106</v>
      </c>
      <c r="B73" s="4">
        <v>45839</v>
      </c>
      <c r="C73" s="4"/>
      <c r="E73" s="66"/>
      <c r="F73" s="72"/>
    </row>
    <row r="74" spans="1:6" x14ac:dyDescent="0.2">
      <c r="A74" s="34" t="s">
        <v>583</v>
      </c>
      <c r="B74" s="4">
        <v>45992</v>
      </c>
      <c r="C74" s="4"/>
      <c r="E74" s="66"/>
      <c r="F74" s="72"/>
    </row>
    <row r="75" spans="1:6" x14ac:dyDescent="0.2">
      <c r="A75" s="34" t="s">
        <v>108</v>
      </c>
      <c r="B75" s="4">
        <v>45962</v>
      </c>
      <c r="C75" s="4"/>
      <c r="E75" s="66"/>
      <c r="F75" s="72"/>
    </row>
    <row r="76" spans="1:6" x14ac:dyDescent="0.2">
      <c r="A76" s="35" t="s">
        <v>110</v>
      </c>
      <c r="B76" s="4">
        <v>45870</v>
      </c>
      <c r="C76" s="4"/>
      <c r="E76" s="66"/>
      <c r="F76" s="72"/>
    </row>
    <row r="77" spans="1:6" x14ac:dyDescent="0.2">
      <c r="A77" s="34" t="s">
        <v>111</v>
      </c>
      <c r="B77" s="4">
        <v>45870</v>
      </c>
      <c r="C77" s="4"/>
      <c r="E77" s="68"/>
      <c r="F77" s="72"/>
    </row>
    <row r="78" spans="1:6" x14ac:dyDescent="0.2">
      <c r="A78" s="36" t="s">
        <v>203</v>
      </c>
      <c r="B78" s="4" t="s">
        <v>220</v>
      </c>
      <c r="C78" s="4"/>
      <c r="E78" s="67"/>
      <c r="F78" s="72"/>
    </row>
    <row r="79" spans="1:6" x14ac:dyDescent="0.2">
      <c r="A79" s="37" t="s">
        <v>497</v>
      </c>
      <c r="B79" s="4" t="s">
        <v>220</v>
      </c>
      <c r="C79" s="4"/>
      <c r="E79" s="67"/>
      <c r="F79" s="72"/>
    </row>
    <row r="80" spans="1:6" x14ac:dyDescent="0.2">
      <c r="A80" s="38" t="s">
        <v>229</v>
      </c>
      <c r="B80" s="4" t="s">
        <v>220</v>
      </c>
      <c r="C80" s="4"/>
      <c r="E80" s="66"/>
      <c r="F80" s="72"/>
    </row>
    <row r="81" spans="5:6" x14ac:dyDescent="0.2">
      <c r="E81" s="66"/>
      <c r="F81" s="72"/>
    </row>
    <row r="82" spans="5:6" x14ac:dyDescent="0.2">
      <c r="E82" s="66"/>
      <c r="F82" s="72"/>
    </row>
    <row r="83" spans="5:6" x14ac:dyDescent="0.2">
      <c r="E83" s="66"/>
      <c r="F83" s="72"/>
    </row>
    <row r="84" spans="5:6" x14ac:dyDescent="0.2">
      <c r="E84" s="66"/>
      <c r="F84" s="72"/>
    </row>
    <row r="85" spans="5:6" x14ac:dyDescent="0.2">
      <c r="E85" s="68"/>
      <c r="F85" s="72"/>
    </row>
    <row r="86" spans="5:6" x14ac:dyDescent="0.2">
      <c r="E86" s="30"/>
      <c r="F86" s="72"/>
    </row>
    <row r="87" spans="5:6" x14ac:dyDescent="0.2">
      <c r="E87"/>
      <c r="F87" s="72"/>
    </row>
    <row r="88" spans="5:6" x14ac:dyDescent="0.2">
      <c r="E88"/>
      <c r="F88" s="72"/>
    </row>
    <row r="89" spans="5:6" x14ac:dyDescent="0.2">
      <c r="E89"/>
      <c r="F89" s="72"/>
    </row>
    <row r="90" spans="5:6" x14ac:dyDescent="0.2">
      <c r="E90"/>
      <c r="F90" s="72"/>
    </row>
    <row r="91" spans="5:6" x14ac:dyDescent="0.2">
      <c r="E91"/>
      <c r="F91" s="72"/>
    </row>
    <row r="92" spans="5:6" x14ac:dyDescent="0.2">
      <c r="E92"/>
      <c r="F92" s="72"/>
    </row>
    <row r="93" spans="5:6" x14ac:dyDescent="0.2">
      <c r="E93"/>
      <c r="F93" s="72"/>
    </row>
    <row r="94" spans="5:6" x14ac:dyDescent="0.2">
      <c r="E94"/>
      <c r="F94" s="72"/>
    </row>
    <row r="95" spans="5:6" x14ac:dyDescent="0.2">
      <c r="E95"/>
      <c r="F95" s="72"/>
    </row>
    <row r="96" spans="5:6" x14ac:dyDescent="0.2">
      <c r="E96"/>
      <c r="F96" s="72"/>
    </row>
    <row r="97" spans="5:6" x14ac:dyDescent="0.2">
      <c r="E97"/>
      <c r="F97" s="72"/>
    </row>
    <row r="98" spans="5:6" x14ac:dyDescent="0.2">
      <c r="E98"/>
      <c r="F98" s="72"/>
    </row>
    <row r="99" spans="5:6" x14ac:dyDescent="0.2">
      <c r="E99"/>
      <c r="F99" s="72"/>
    </row>
    <row r="100" spans="5:6" x14ac:dyDescent="0.2">
      <c r="E100"/>
      <c r="F100" s="7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th xmlns="ed9f1829-d5ed-46f4-83ed-e925f2467574">
      <Url xsi:nil="true"/>
      <Description xsi:nil="true"/>
    </path>
    <LastModified xmlns="ed9f1829-d5ed-46f4-83ed-e925f2467574" xsi:nil="true"/>
    <lcf76f155ced4ddcb4097134ff3c332f xmlns="ed9f1829-d5ed-46f4-83ed-e925f2467574">
      <Terms xmlns="http://schemas.microsoft.com/office/infopath/2007/PartnerControls"/>
    </lcf76f155ced4ddcb4097134ff3c332f>
    <TaxCatchAll xmlns="71e11cde-6f33-435a-aab3-afa36e73984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7209772119C64B8322F6F07A439EA6" ma:contentTypeVersion="21" ma:contentTypeDescription="Create a new document." ma:contentTypeScope="" ma:versionID="94fb0221fb477db87fc9f192e3eda52d">
  <xsd:schema xmlns:xsd="http://www.w3.org/2001/XMLSchema" xmlns:xs="http://www.w3.org/2001/XMLSchema" xmlns:p="http://schemas.microsoft.com/office/2006/metadata/properties" xmlns:ns2="ed9f1829-d5ed-46f4-83ed-e925f2467574" xmlns:ns3="71e11cde-6f33-435a-aab3-afa36e73984d" targetNamespace="http://schemas.microsoft.com/office/2006/metadata/properties" ma:root="true" ma:fieldsID="6fe001f2bed4f7ac0f88e8497c55b904" ns2:_="" ns3:_="">
    <xsd:import namespace="ed9f1829-d5ed-46f4-83ed-e925f2467574"/>
    <xsd:import namespace="71e11cde-6f33-435a-aab3-afa36e7398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path" minOccurs="0"/>
                <xsd:element ref="ns2:LastModifie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f1829-d5ed-46f4-83ed-e925f24675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d58de99-3358-4d9c-bcbc-5fe30aef10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ath" ma:index="26" nillable="true" ma:displayName="path" ma:format="Hyperlink" ma:internalName="path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astModified" ma:index="27" nillable="true" ma:displayName="Last Modified" ma:format="DateOnly" ma:indexed="true" ma:internalName="LastModified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1cde-6f33-435a-aab3-afa36e73984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7d48f39-402d-4c0f-b9e1-08821b16371e}" ma:internalName="TaxCatchAll" ma:showField="CatchAllData" ma:web="71e11cde-6f33-435a-aab3-afa36e7398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F139C5-1786-4332-A185-7214EACD46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16C542-F083-42DB-A983-26A36E5AEB7E}">
  <ds:schemaRefs>
    <ds:schemaRef ds:uri="http://schemas.microsoft.com/office/infopath/2007/PartnerControls"/>
    <ds:schemaRef ds:uri="http://purl.org/dc/terms/"/>
    <ds:schemaRef ds:uri="http://purl.org/dc/elements/1.1/"/>
    <ds:schemaRef ds:uri="ed9f1829-d5ed-46f4-83ed-e925f2467574"/>
    <ds:schemaRef ds:uri="http://schemas.microsoft.com/office/2006/documentManagement/types"/>
    <ds:schemaRef ds:uri="http://www.w3.org/XML/1998/namespace"/>
    <ds:schemaRef ds:uri="71e11cde-6f33-435a-aab3-afa36e73984d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104F7F0-8429-4DAF-9F13-08E502323C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9f1829-d5ed-46f4-83ed-e925f2467574"/>
    <ds:schemaRef ds:uri="71e11cde-6f33-435a-aab3-afa36e7398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3cee7a3-b15d-47d9-8f30-f5bd649e3967}" enabled="0" method="" siteId="{13cee7a3-b15d-47d9-8f30-f5bd649e39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 Base Matrix</vt:lpstr>
      <vt:lpstr>Project List</vt:lpstr>
      <vt:lpstr>Customer 360</vt:lpstr>
      <vt:lpstr>CSM RDD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Sparsh  Agrawal</dc:creator>
  <cp:keywords/>
  <dc:description/>
  <cp:lastModifiedBy>Aalimah  Showkat</cp:lastModifiedBy>
  <cp:revision/>
  <dcterms:created xsi:type="dcterms:W3CDTF">2025-02-20T07:01:36Z</dcterms:created>
  <dcterms:modified xsi:type="dcterms:W3CDTF">2026-05-14T07:03:53Z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0x010100A57209772119C64B8322F6F07A439EA6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{"FileActivityType":"9","FileActivityTimeStamp":"2025-04-08T06:18:03.410Z","FileActivityUsersOnPage":[{"DisplayName":"Sparsh  Agrawal","Id":"sparsh.agrawal@aidash.com"},{"DisplayName":"Rishu  Batra","Id":"rishu@aidash.com"}],"FileActivityNavigationId":null}</vt:lpwstr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</Properties>
</file>